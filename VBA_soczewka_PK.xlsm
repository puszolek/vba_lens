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puszol\Desktop\VBA\"/>
    </mc:Choice>
  </mc:AlternateContent>
  <bookViews>
    <workbookView xWindow="0" yWindow="0" windowWidth="21570" windowHeight="7125"/>
  </bookViews>
  <sheets>
    <sheet name="Lens" sheetId="4" r:id="rId1"/>
    <sheet name="soczewka" sheetId="1" state="hidden" r:id="rId2"/>
  </sheets>
  <calcPr calcId="171027"/>
</workbook>
</file>

<file path=xl/calcChain.xml><?xml version="1.0" encoding="utf-8"?>
<calcChain xmlns="http://schemas.openxmlformats.org/spreadsheetml/2006/main">
  <c r="B5" i="1" l="1"/>
  <c r="B4" i="1" l="1"/>
  <c r="G16" i="1" l="1"/>
  <c r="I17" i="1" s="1"/>
  <c r="O7" i="1" s="1"/>
  <c r="E4" i="1"/>
  <c r="E5" i="1" s="1"/>
  <c r="I8" i="1" s="1"/>
  <c r="U105" i="1"/>
  <c r="U104" i="1" s="1"/>
  <c r="U103" i="1" s="1"/>
  <c r="U102" i="1" s="1"/>
  <c r="U101" i="1" s="1"/>
  <c r="U100" i="1" s="1"/>
  <c r="U99" i="1" s="1"/>
  <c r="U98" i="1" s="1"/>
  <c r="U97" i="1" s="1"/>
  <c r="U96" i="1" s="1"/>
  <c r="U95" i="1" s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U66" i="1" s="1"/>
  <c r="U65" i="1" s="1"/>
  <c r="U64" i="1" s="1"/>
  <c r="U63" i="1" s="1"/>
  <c r="U62" i="1" s="1"/>
  <c r="U61" i="1" s="1"/>
  <c r="U60" i="1" s="1"/>
  <c r="U59" i="1" s="1"/>
  <c r="U58" i="1" s="1"/>
  <c r="U57" i="1" s="1"/>
  <c r="U56" i="1" s="1"/>
  <c r="U55" i="1" s="1"/>
  <c r="U54" i="1" s="1"/>
  <c r="U53" i="1" s="1"/>
  <c r="U52" i="1" s="1"/>
  <c r="U51" i="1" s="1"/>
  <c r="U50" i="1" s="1"/>
  <c r="U49" i="1" s="1"/>
  <c r="U48" i="1" s="1"/>
  <c r="U47" i="1" s="1"/>
  <c r="U46" i="1" s="1"/>
  <c r="U45" i="1" s="1"/>
  <c r="U44" i="1" s="1"/>
  <c r="U43" i="1" s="1"/>
  <c r="U42" i="1" s="1"/>
  <c r="U41" i="1" s="1"/>
  <c r="U40" i="1" s="1"/>
  <c r="U39" i="1" s="1"/>
  <c r="U38" i="1" s="1"/>
  <c r="U37" i="1" s="1"/>
  <c r="U36" i="1" s="1"/>
  <c r="U35" i="1" s="1"/>
  <c r="U34" i="1" s="1"/>
  <c r="U33" i="1" s="1"/>
  <c r="U32" i="1" s="1"/>
  <c r="U31" i="1" s="1"/>
  <c r="U30" i="1" s="1"/>
  <c r="U29" i="1" s="1"/>
  <c r="U28" i="1" s="1"/>
  <c r="U27" i="1" s="1"/>
  <c r="U26" i="1" s="1"/>
  <c r="U25" i="1" s="1"/>
  <c r="U24" i="1" s="1"/>
  <c r="U23" i="1" s="1"/>
  <c r="U22" i="1" s="1"/>
  <c r="U21" i="1" s="1"/>
  <c r="U20" i="1" s="1"/>
  <c r="U19" i="1" s="1"/>
  <c r="U18" i="1" s="1"/>
  <c r="U17" i="1" s="1"/>
  <c r="U16" i="1" s="1"/>
  <c r="U15" i="1" s="1"/>
  <c r="U14" i="1" s="1"/>
  <c r="U13" i="1" s="1"/>
  <c r="U12" i="1" s="1"/>
  <c r="U11" i="1" s="1"/>
  <c r="U10" i="1" s="1"/>
  <c r="U9" i="1" s="1"/>
  <c r="U8" i="1" s="1"/>
  <c r="U7" i="1" s="1"/>
  <c r="U6" i="1" s="1"/>
  <c r="U107" i="1"/>
  <c r="U108" i="1" s="1"/>
  <c r="M106" i="1"/>
  <c r="M107" i="1" s="1"/>
  <c r="J15" i="1"/>
  <c r="G2" i="1"/>
  <c r="G15" i="1"/>
  <c r="Q6" i="1"/>
  <c r="P5" i="1"/>
  <c r="P4" i="1"/>
  <c r="J2" i="1"/>
  <c r="E3" i="1"/>
  <c r="R3" i="1"/>
  <c r="G3" i="1"/>
  <c r="I4" i="1" s="1"/>
  <c r="O6" i="1" s="1"/>
  <c r="I18" i="1"/>
  <c r="P7" i="1" s="1"/>
  <c r="I5" i="1"/>
  <c r="P6" i="1" s="1"/>
  <c r="J18" i="1" l="1"/>
  <c r="B14" i="1" s="1"/>
  <c r="I2" i="1"/>
  <c r="O4" i="1" s="1"/>
  <c r="I15" i="1"/>
  <c r="O5" i="1" s="1"/>
  <c r="M105" i="1"/>
  <c r="M104" i="1" s="1"/>
  <c r="M103" i="1" s="1"/>
  <c r="M102" i="1" s="1"/>
  <c r="M101" i="1" s="1"/>
  <c r="M100" i="1" s="1"/>
  <c r="M99" i="1" s="1"/>
  <c r="M98" i="1" s="1"/>
  <c r="M97" i="1" s="1"/>
  <c r="M96" i="1" s="1"/>
  <c r="M95" i="1" s="1"/>
  <c r="M94" i="1" s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M66" i="1" s="1"/>
  <c r="M65" i="1" s="1"/>
  <c r="M64" i="1" s="1"/>
  <c r="M63" i="1" s="1"/>
  <c r="M62" i="1" s="1"/>
  <c r="M61" i="1" s="1"/>
  <c r="M60" i="1" s="1"/>
  <c r="M59" i="1" s="1"/>
  <c r="M58" i="1" s="1"/>
  <c r="M57" i="1" s="1"/>
  <c r="M56" i="1" s="1"/>
  <c r="M55" i="1" s="1"/>
  <c r="M54" i="1" s="1"/>
  <c r="M53" i="1" s="1"/>
  <c r="M52" i="1" s="1"/>
  <c r="M51" i="1" s="1"/>
  <c r="M50" i="1" s="1"/>
  <c r="M49" i="1" s="1"/>
  <c r="M48" i="1" s="1"/>
  <c r="M47" i="1" s="1"/>
  <c r="M46" i="1" s="1"/>
  <c r="M45" i="1" s="1"/>
  <c r="M44" i="1" s="1"/>
  <c r="M43" i="1" s="1"/>
  <c r="M42" i="1" s="1"/>
  <c r="M41" i="1" s="1"/>
  <c r="M40" i="1" s="1"/>
  <c r="M39" i="1" s="1"/>
  <c r="M38" i="1" s="1"/>
  <c r="M37" i="1" s="1"/>
  <c r="M36" i="1" s="1"/>
  <c r="M35" i="1" s="1"/>
  <c r="M34" i="1" s="1"/>
  <c r="M33" i="1" s="1"/>
  <c r="M32" i="1" s="1"/>
  <c r="M31" i="1" s="1"/>
  <c r="M30" i="1" s="1"/>
  <c r="M29" i="1" s="1"/>
  <c r="M28" i="1" s="1"/>
  <c r="M27" i="1" s="1"/>
  <c r="M26" i="1" s="1"/>
  <c r="M25" i="1" s="1"/>
  <c r="M24" i="1" s="1"/>
  <c r="M23" i="1" s="1"/>
  <c r="M22" i="1" s="1"/>
  <c r="M21" i="1" s="1"/>
  <c r="M20" i="1" s="1"/>
  <c r="M19" i="1" s="1"/>
  <c r="M18" i="1" s="1"/>
  <c r="M17" i="1" s="1"/>
  <c r="M16" i="1" s="1"/>
  <c r="M15" i="1" s="1"/>
  <c r="M14" i="1" s="1"/>
  <c r="M13" i="1" s="1"/>
  <c r="M12" i="1" s="1"/>
  <c r="M11" i="1" s="1"/>
  <c r="M10" i="1" s="1"/>
  <c r="M9" i="1" s="1"/>
  <c r="M8" i="1" s="1"/>
  <c r="M7" i="1" s="1"/>
  <c r="M6" i="1" s="1"/>
  <c r="U109" i="1"/>
  <c r="M108" i="1"/>
  <c r="G4" i="1" l="1"/>
  <c r="E8" i="1" s="1"/>
  <c r="E9" i="1" s="1"/>
  <c r="G17" i="1"/>
  <c r="T107" i="1" s="1"/>
  <c r="U110" i="1"/>
  <c r="M109" i="1"/>
  <c r="L104" i="1" l="1"/>
  <c r="L39" i="1"/>
  <c r="L41" i="1"/>
  <c r="L51" i="1"/>
  <c r="L57" i="1"/>
  <c r="L98" i="1"/>
  <c r="L17" i="1"/>
  <c r="L88" i="1"/>
  <c r="L28" i="1"/>
  <c r="L53" i="1"/>
  <c r="L37" i="1"/>
  <c r="L82" i="1"/>
  <c r="L8" i="1"/>
  <c r="L55" i="1"/>
  <c r="L72" i="1"/>
  <c r="L12" i="1"/>
  <c r="L15" i="1"/>
  <c r="L68" i="1"/>
  <c r="L11" i="1"/>
  <c r="L94" i="1"/>
  <c r="L102" i="1"/>
  <c r="L36" i="1"/>
  <c r="L73" i="1"/>
  <c r="L87" i="1"/>
  <c r="L34" i="1"/>
  <c r="L103" i="1"/>
  <c r="L75" i="1"/>
  <c r="L63" i="1"/>
  <c r="L64" i="1"/>
  <c r="L29" i="1"/>
  <c r="L42" i="1"/>
  <c r="L59" i="1"/>
  <c r="L97" i="1"/>
  <c r="L9" i="1"/>
  <c r="L35" i="1"/>
  <c r="L18" i="1"/>
  <c r="L65" i="1"/>
  <c r="L95" i="1"/>
  <c r="L70" i="1"/>
  <c r="L31" i="1"/>
  <c r="L26" i="1"/>
  <c r="L32" i="1"/>
  <c r="L54" i="1"/>
  <c r="L56" i="1"/>
  <c r="L13" i="1"/>
  <c r="L19" i="1"/>
  <c r="L92" i="1"/>
  <c r="L80" i="1"/>
  <c r="L91" i="1"/>
  <c r="L33" i="1"/>
  <c r="L47" i="1"/>
  <c r="L61" i="1"/>
  <c r="L99" i="1"/>
  <c r="L50" i="1"/>
  <c r="L52" i="1"/>
  <c r="L21" i="1"/>
  <c r="L81" i="1"/>
  <c r="L43" i="1"/>
  <c r="L38" i="1"/>
  <c r="L25" i="1"/>
  <c r="L77" i="1"/>
  <c r="L90" i="1"/>
  <c r="L60" i="1"/>
  <c r="L16" i="1"/>
  <c r="L14" i="1"/>
  <c r="L107" i="1"/>
  <c r="L101" i="1"/>
  <c r="L45" i="1"/>
  <c r="L79" i="1"/>
  <c r="L105" i="1"/>
  <c r="L85" i="1"/>
  <c r="L67" i="1"/>
  <c r="L66" i="1"/>
  <c r="L84" i="1"/>
  <c r="L20" i="1"/>
  <c r="L71" i="1"/>
  <c r="L69" i="1"/>
  <c r="L7" i="1"/>
  <c r="L86" i="1"/>
  <c r="L22" i="1"/>
  <c r="L24" i="1"/>
  <c r="L49" i="1"/>
  <c r="L23" i="1"/>
  <c r="L58" i="1"/>
  <c r="L76" i="1"/>
  <c r="L27" i="1"/>
  <c r="L96" i="1"/>
  <c r="L48" i="1"/>
  <c r="L100" i="1"/>
  <c r="L6" i="1"/>
  <c r="L40" i="1"/>
  <c r="L89" i="1"/>
  <c r="L93" i="1"/>
  <c r="L83" i="1"/>
  <c r="L74" i="1"/>
  <c r="L10" i="1"/>
  <c r="L44" i="1"/>
  <c r="L46" i="1"/>
  <c r="L62" i="1"/>
  <c r="L78" i="1"/>
  <c r="L30" i="1"/>
  <c r="L108" i="1"/>
  <c r="L106" i="1"/>
  <c r="T27" i="1"/>
  <c r="T87" i="1"/>
  <c r="T74" i="1"/>
  <c r="T34" i="1"/>
  <c r="T25" i="1"/>
  <c r="T86" i="1"/>
  <c r="T50" i="1"/>
  <c r="T32" i="1"/>
  <c r="T97" i="1"/>
  <c r="T96" i="1"/>
  <c r="T85" i="1"/>
  <c r="T22" i="1"/>
  <c r="T62" i="1"/>
  <c r="T102" i="1"/>
  <c r="T31" i="1"/>
  <c r="T77" i="1"/>
  <c r="T57" i="1"/>
  <c r="T52" i="1"/>
  <c r="T7" i="1"/>
  <c r="T13" i="1"/>
  <c r="T98" i="1"/>
  <c r="T64" i="1"/>
  <c r="T36" i="1"/>
  <c r="T91" i="1"/>
  <c r="T89" i="1"/>
  <c r="T105" i="1"/>
  <c r="T42" i="1"/>
  <c r="T46" i="1"/>
  <c r="T72" i="1"/>
  <c r="T11" i="1"/>
  <c r="T73" i="1"/>
  <c r="T84" i="1"/>
  <c r="T15" i="1"/>
  <c r="T61" i="1"/>
  <c r="T99" i="1"/>
  <c r="T10" i="1"/>
  <c r="T24" i="1"/>
  <c r="T18" i="1"/>
  <c r="T48" i="1"/>
  <c r="T19" i="1"/>
  <c r="T38" i="1"/>
  <c r="T79" i="1"/>
  <c r="T35" i="1"/>
  <c r="T45" i="1"/>
  <c r="T66" i="1"/>
  <c r="T23" i="1"/>
  <c r="T33" i="1"/>
  <c r="T51" i="1"/>
  <c r="T59" i="1"/>
  <c r="T104" i="1"/>
  <c r="T109" i="1"/>
  <c r="T54" i="1"/>
  <c r="T16" i="1"/>
  <c r="T58" i="1"/>
  <c r="T81" i="1"/>
  <c r="T12" i="1"/>
  <c r="T88" i="1"/>
  <c r="T41" i="1"/>
  <c r="T43" i="1"/>
  <c r="T70" i="1"/>
  <c r="T8" i="1"/>
  <c r="T28" i="1"/>
  <c r="T75" i="1"/>
  <c r="T9" i="1"/>
  <c r="T47" i="1"/>
  <c r="T65" i="1"/>
  <c r="T93" i="1"/>
  <c r="T80" i="1"/>
  <c r="T49" i="1"/>
  <c r="T56" i="1"/>
  <c r="T94" i="1"/>
  <c r="T21" i="1"/>
  <c r="T39" i="1"/>
  <c r="T53" i="1"/>
  <c r="T103" i="1"/>
  <c r="T101" i="1"/>
  <c r="T108" i="1"/>
  <c r="T20" i="1"/>
  <c r="T95" i="1"/>
  <c r="T90" i="1"/>
  <c r="T40" i="1"/>
  <c r="T55" i="1"/>
  <c r="T83" i="1"/>
  <c r="T63" i="1"/>
  <c r="T26" i="1"/>
  <c r="T14" i="1"/>
  <c r="T69" i="1"/>
  <c r="T68" i="1"/>
  <c r="T29" i="1"/>
  <c r="T71" i="1"/>
  <c r="T82" i="1"/>
  <c r="T30" i="1"/>
  <c r="T44" i="1"/>
  <c r="T67" i="1"/>
  <c r="T17" i="1"/>
  <c r="T76" i="1"/>
  <c r="T60" i="1"/>
  <c r="T78" i="1"/>
  <c r="T37" i="1"/>
  <c r="T6" i="1"/>
  <c r="T100" i="1"/>
  <c r="T92" i="1"/>
  <c r="T106" i="1"/>
  <c r="T110" i="1"/>
  <c r="U111" i="1"/>
  <c r="M110" i="1"/>
  <c r="L109" i="1"/>
  <c r="Q4" i="1"/>
  <c r="R4" i="1"/>
  <c r="G8" i="1"/>
  <c r="G7" i="1"/>
  <c r="F10" i="1" s="1"/>
  <c r="I7" i="1" l="1"/>
  <c r="T111" i="1"/>
  <c r="U112" i="1"/>
  <c r="M111" i="1"/>
  <c r="L110" i="1"/>
  <c r="I9" i="1"/>
  <c r="F11" i="1"/>
  <c r="P8" i="1"/>
  <c r="P9" i="1"/>
  <c r="E18" i="1" l="1"/>
  <c r="U113" i="1"/>
  <c r="T112" i="1"/>
  <c r="L111" i="1"/>
  <c r="M112" i="1"/>
  <c r="J7" i="1"/>
  <c r="G10" i="1"/>
  <c r="G11" i="1"/>
  <c r="T113" i="1" l="1"/>
  <c r="U114" i="1"/>
  <c r="M113" i="1"/>
  <c r="L112" i="1"/>
  <c r="I21" i="1"/>
  <c r="E16" i="1"/>
  <c r="E21" i="1" s="1"/>
  <c r="E17" i="1"/>
  <c r="U115" i="1" l="1"/>
  <c r="T114" i="1"/>
  <c r="M114" i="1"/>
  <c r="L113" i="1"/>
  <c r="E22" i="1"/>
  <c r="Q5" i="1"/>
  <c r="G20" i="1" l="1"/>
  <c r="I22" i="1" s="1"/>
  <c r="T115" i="1"/>
  <c r="U116" i="1"/>
  <c r="M115" i="1"/>
  <c r="L114" i="1"/>
  <c r="G21" i="1"/>
  <c r="R5" i="1"/>
  <c r="F23" i="1" l="1"/>
  <c r="F24" i="1" s="1"/>
  <c r="I20" i="1"/>
  <c r="J20" i="1" s="1"/>
  <c r="T116" i="1"/>
  <c r="U117" i="1"/>
  <c r="L115" i="1"/>
  <c r="M116" i="1"/>
  <c r="P16" i="1"/>
  <c r="P17" i="1"/>
  <c r="G23" i="1" l="1"/>
  <c r="E30" i="1"/>
  <c r="T117" i="1"/>
  <c r="U118" i="1"/>
  <c r="M117" i="1"/>
  <c r="L116" i="1"/>
  <c r="G24" i="1"/>
  <c r="U119" i="1" l="1"/>
  <c r="T118" i="1"/>
  <c r="M118" i="1"/>
  <c r="L117" i="1"/>
  <c r="E29" i="1"/>
  <c r="E28" i="1"/>
  <c r="E31" i="1" s="1"/>
  <c r="T119" i="1" l="1"/>
  <c r="U120" i="1"/>
  <c r="M119" i="1"/>
  <c r="L118" i="1"/>
  <c r="R6" i="1"/>
  <c r="B12" i="1"/>
  <c r="B13" i="1" s="1"/>
  <c r="U121" i="1" l="1"/>
  <c r="T120" i="1"/>
  <c r="L119" i="1"/>
  <c r="M120" i="1"/>
  <c r="T121" i="1" l="1"/>
  <c r="U122" i="1"/>
  <c r="M121" i="1"/>
  <c r="L120" i="1"/>
  <c r="U123" i="1" l="1"/>
  <c r="T122" i="1"/>
  <c r="L121" i="1"/>
  <c r="M122" i="1"/>
  <c r="T123" i="1" l="1"/>
  <c r="U124" i="1"/>
  <c r="M123" i="1"/>
  <c r="L122" i="1"/>
  <c r="T124" i="1" l="1"/>
  <c r="U125" i="1"/>
  <c r="M124" i="1"/>
  <c r="L123" i="1"/>
  <c r="T125" i="1" l="1"/>
  <c r="U126" i="1"/>
  <c r="M125" i="1"/>
  <c r="L124" i="1"/>
  <c r="U127" i="1" l="1"/>
  <c r="T126" i="1"/>
  <c r="L125" i="1"/>
  <c r="M126" i="1"/>
  <c r="T127" i="1" l="1"/>
  <c r="U128" i="1"/>
  <c r="M127" i="1"/>
  <c r="L126" i="1"/>
  <c r="U129" i="1" l="1"/>
  <c r="T128" i="1"/>
  <c r="L127" i="1"/>
  <c r="M128" i="1"/>
  <c r="T129" i="1" l="1"/>
  <c r="U130" i="1"/>
  <c r="M129" i="1"/>
  <c r="L128" i="1"/>
  <c r="T130" i="1" l="1"/>
  <c r="U131" i="1"/>
  <c r="L129" i="1"/>
  <c r="M130" i="1"/>
  <c r="T131" i="1" l="1"/>
  <c r="U132" i="1"/>
  <c r="M131" i="1"/>
  <c r="L130" i="1"/>
  <c r="U133" i="1" l="1"/>
  <c r="T132" i="1"/>
  <c r="L131" i="1"/>
  <c r="M132" i="1"/>
  <c r="T133" i="1" l="1"/>
  <c r="U134" i="1"/>
  <c r="M133" i="1"/>
  <c r="L132" i="1"/>
  <c r="T134" i="1" l="1"/>
  <c r="U135" i="1"/>
  <c r="L133" i="1"/>
  <c r="M134" i="1"/>
  <c r="T135" i="1" l="1"/>
  <c r="U136" i="1"/>
  <c r="M135" i="1"/>
  <c r="L134" i="1"/>
  <c r="U137" i="1" l="1"/>
  <c r="T136" i="1"/>
  <c r="L135" i="1"/>
  <c r="M136" i="1"/>
  <c r="T137" i="1" l="1"/>
  <c r="U138" i="1"/>
  <c r="M137" i="1"/>
  <c r="L136" i="1"/>
  <c r="T138" i="1" l="1"/>
  <c r="U139" i="1"/>
  <c r="L137" i="1"/>
  <c r="M138" i="1"/>
  <c r="T139" i="1" l="1"/>
  <c r="U140" i="1"/>
  <c r="M139" i="1"/>
  <c r="L138" i="1"/>
  <c r="U141" i="1" l="1"/>
  <c r="T140" i="1"/>
  <c r="L139" i="1"/>
  <c r="M140" i="1"/>
  <c r="T141" i="1" l="1"/>
  <c r="U142" i="1"/>
  <c r="M141" i="1"/>
  <c r="L140" i="1"/>
  <c r="T142" i="1" l="1"/>
  <c r="U143" i="1"/>
  <c r="L141" i="1"/>
  <c r="M142" i="1"/>
  <c r="T143" i="1" l="1"/>
  <c r="U144" i="1"/>
  <c r="M143" i="1"/>
  <c r="L142" i="1"/>
  <c r="U145" i="1" l="1"/>
  <c r="T144" i="1"/>
  <c r="L143" i="1"/>
  <c r="M144" i="1"/>
  <c r="T145" i="1" l="1"/>
  <c r="U146" i="1"/>
  <c r="M145" i="1"/>
  <c r="L144" i="1"/>
  <c r="U147" i="1" l="1"/>
  <c r="T146" i="1"/>
  <c r="L145" i="1"/>
  <c r="M146" i="1"/>
  <c r="T147" i="1" l="1"/>
  <c r="U148" i="1"/>
  <c r="M147" i="1"/>
  <c r="L146" i="1"/>
  <c r="T148" i="1" l="1"/>
  <c r="U149" i="1"/>
  <c r="L147" i="1"/>
  <c r="M148" i="1"/>
  <c r="T149" i="1" l="1"/>
  <c r="U150" i="1"/>
  <c r="M149" i="1"/>
  <c r="L148" i="1"/>
  <c r="U151" i="1" l="1"/>
  <c r="T150" i="1"/>
  <c r="L149" i="1"/>
  <c r="M150" i="1"/>
  <c r="T151" i="1" l="1"/>
  <c r="U152" i="1"/>
  <c r="M151" i="1"/>
  <c r="L150" i="1"/>
  <c r="T152" i="1" l="1"/>
  <c r="U153" i="1"/>
  <c r="L151" i="1"/>
  <c r="M152" i="1"/>
  <c r="T153" i="1" l="1"/>
  <c r="U154" i="1"/>
  <c r="M153" i="1"/>
  <c r="L152" i="1"/>
  <c r="U155" i="1" l="1"/>
  <c r="T154" i="1"/>
  <c r="L153" i="1"/>
  <c r="M154" i="1"/>
  <c r="T155" i="1" l="1"/>
  <c r="U156" i="1"/>
  <c r="M155" i="1"/>
  <c r="L154" i="1"/>
  <c r="T156" i="1" l="1"/>
  <c r="U157" i="1"/>
  <c r="L155" i="1"/>
  <c r="M156" i="1"/>
  <c r="T157" i="1" l="1"/>
  <c r="U158" i="1"/>
  <c r="M157" i="1"/>
  <c r="L156" i="1"/>
  <c r="U159" i="1" l="1"/>
  <c r="T158" i="1"/>
  <c r="L157" i="1"/>
  <c r="M158" i="1"/>
  <c r="T159" i="1" l="1"/>
  <c r="U160" i="1"/>
  <c r="M159" i="1"/>
  <c r="L158" i="1"/>
  <c r="T160" i="1" l="1"/>
  <c r="U161" i="1"/>
  <c r="L159" i="1"/>
  <c r="M160" i="1"/>
  <c r="T161" i="1" l="1"/>
  <c r="U162" i="1"/>
  <c r="M161" i="1"/>
  <c r="L160" i="1"/>
  <c r="U163" i="1" l="1"/>
  <c r="T162" i="1"/>
  <c r="L161" i="1"/>
  <c r="M162" i="1"/>
  <c r="T163" i="1" l="1"/>
  <c r="U164" i="1"/>
  <c r="M163" i="1"/>
  <c r="L162" i="1"/>
  <c r="T164" i="1" l="1"/>
  <c r="U165" i="1"/>
  <c r="L163" i="1"/>
  <c r="M164" i="1"/>
  <c r="T165" i="1" l="1"/>
  <c r="U166" i="1"/>
  <c r="M165" i="1"/>
  <c r="L164" i="1"/>
  <c r="U167" i="1" l="1"/>
  <c r="T166" i="1"/>
  <c r="L165" i="1"/>
  <c r="M166" i="1"/>
  <c r="T167" i="1" l="1"/>
  <c r="U168" i="1"/>
  <c r="M167" i="1"/>
  <c r="L166" i="1"/>
  <c r="T168" i="1" l="1"/>
  <c r="U169" i="1"/>
  <c r="L167" i="1"/>
  <c r="M168" i="1"/>
  <c r="T169" i="1" l="1"/>
  <c r="U170" i="1"/>
  <c r="M169" i="1"/>
  <c r="L168" i="1"/>
  <c r="U171" i="1" l="1"/>
  <c r="T170" i="1"/>
  <c r="L169" i="1"/>
  <c r="M170" i="1"/>
  <c r="T171" i="1" l="1"/>
  <c r="U172" i="1"/>
  <c r="M171" i="1"/>
  <c r="L170" i="1"/>
  <c r="T172" i="1" l="1"/>
  <c r="U173" i="1"/>
  <c r="L171" i="1"/>
  <c r="M172" i="1"/>
  <c r="T173" i="1" l="1"/>
  <c r="U174" i="1"/>
  <c r="M173" i="1"/>
  <c r="L172" i="1"/>
  <c r="U175" i="1" l="1"/>
  <c r="T174" i="1"/>
  <c r="L173" i="1"/>
  <c r="M174" i="1"/>
  <c r="T175" i="1" l="1"/>
  <c r="U176" i="1"/>
  <c r="M175" i="1"/>
  <c r="L174" i="1"/>
  <c r="T176" i="1" l="1"/>
  <c r="U177" i="1"/>
  <c r="L175" i="1"/>
  <c r="M176" i="1"/>
  <c r="T177" i="1" l="1"/>
  <c r="U178" i="1"/>
  <c r="M177" i="1"/>
  <c r="L176" i="1"/>
  <c r="U179" i="1" l="1"/>
  <c r="T178" i="1"/>
  <c r="L177" i="1"/>
  <c r="M178" i="1"/>
  <c r="T179" i="1" l="1"/>
  <c r="U180" i="1"/>
  <c r="M179" i="1"/>
  <c r="L178" i="1"/>
  <c r="T180" i="1" l="1"/>
  <c r="U181" i="1"/>
  <c r="L179" i="1"/>
  <c r="M180" i="1"/>
  <c r="T181" i="1" l="1"/>
  <c r="U182" i="1"/>
  <c r="M181" i="1"/>
  <c r="L180" i="1"/>
  <c r="U183" i="1" l="1"/>
  <c r="T182" i="1"/>
  <c r="L181" i="1"/>
  <c r="M182" i="1"/>
  <c r="T183" i="1" l="1"/>
  <c r="U184" i="1"/>
  <c r="M183" i="1"/>
  <c r="L182" i="1"/>
  <c r="T184" i="1" l="1"/>
  <c r="U185" i="1"/>
  <c r="L183" i="1"/>
  <c r="M184" i="1"/>
  <c r="T185" i="1" l="1"/>
  <c r="U186" i="1"/>
  <c r="M185" i="1"/>
  <c r="L184" i="1"/>
  <c r="U187" i="1" l="1"/>
  <c r="T186" i="1"/>
  <c r="L185" i="1"/>
  <c r="M186" i="1"/>
  <c r="T187" i="1" l="1"/>
  <c r="U188" i="1"/>
  <c r="M187" i="1"/>
  <c r="L186" i="1"/>
  <c r="T188" i="1" l="1"/>
  <c r="U189" i="1"/>
  <c r="L187" i="1"/>
  <c r="M188" i="1"/>
  <c r="T189" i="1" l="1"/>
  <c r="U190" i="1"/>
  <c r="M189" i="1"/>
  <c r="L188" i="1"/>
  <c r="U191" i="1" l="1"/>
  <c r="T190" i="1"/>
  <c r="L189" i="1"/>
  <c r="M190" i="1"/>
  <c r="T191" i="1" l="1"/>
  <c r="U192" i="1"/>
  <c r="M191" i="1"/>
  <c r="L190" i="1"/>
  <c r="U193" i="1" l="1"/>
  <c r="T192" i="1"/>
  <c r="L191" i="1"/>
  <c r="M192" i="1"/>
  <c r="T193" i="1" l="1"/>
  <c r="U194" i="1"/>
  <c r="M193" i="1"/>
  <c r="L192" i="1"/>
  <c r="T194" i="1" l="1"/>
  <c r="U195" i="1"/>
  <c r="L193" i="1"/>
  <c r="M194" i="1"/>
  <c r="T195" i="1" l="1"/>
  <c r="U196" i="1"/>
  <c r="M195" i="1"/>
  <c r="L194" i="1"/>
  <c r="U197" i="1" l="1"/>
  <c r="T196" i="1"/>
  <c r="L195" i="1"/>
  <c r="M196" i="1"/>
  <c r="T197" i="1" l="1"/>
  <c r="U198" i="1"/>
  <c r="M197" i="1"/>
  <c r="L196" i="1"/>
  <c r="U199" i="1" l="1"/>
  <c r="T198" i="1"/>
  <c r="L197" i="1"/>
  <c r="M198" i="1"/>
  <c r="T199" i="1" l="1"/>
  <c r="U200" i="1"/>
  <c r="M199" i="1"/>
  <c r="L198" i="1"/>
  <c r="U201" i="1" l="1"/>
  <c r="T200" i="1"/>
  <c r="L199" i="1"/>
  <c r="M200" i="1"/>
  <c r="T201" i="1" l="1"/>
  <c r="U202" i="1"/>
  <c r="M201" i="1"/>
  <c r="L200" i="1"/>
  <c r="U203" i="1" l="1"/>
  <c r="T202" i="1"/>
  <c r="L201" i="1"/>
  <c r="M202" i="1"/>
  <c r="T203" i="1" l="1"/>
  <c r="U204" i="1"/>
  <c r="M203" i="1"/>
  <c r="L202" i="1"/>
  <c r="T204" i="1" l="1"/>
  <c r="U205" i="1"/>
  <c r="L203" i="1"/>
  <c r="M204" i="1"/>
  <c r="T205" i="1" l="1"/>
  <c r="U206" i="1"/>
  <c r="T206" i="1" s="1"/>
  <c r="M205" i="1"/>
  <c r="L204" i="1"/>
  <c r="L205" i="1" l="1"/>
  <c r="M206" i="1"/>
  <c r="L206" i="1" s="1"/>
</calcChain>
</file>

<file path=xl/comments1.xml><?xml version="1.0" encoding="utf-8"?>
<comments xmlns="http://schemas.openxmlformats.org/spreadsheetml/2006/main">
  <authors>
    <author>kaczorov</author>
  </authors>
  <commentList>
    <comment ref="G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<sst xmlns="http://schemas.openxmlformats.org/spreadsheetml/2006/main" count="77" uniqueCount="41">
  <si>
    <t>Punkt startowy</t>
  </si>
  <si>
    <t>x</t>
  </si>
  <si>
    <t>y</t>
  </si>
  <si>
    <t>kąt względem OX</t>
  </si>
  <si>
    <t>wierzchołki soczewki</t>
  </si>
  <si>
    <t>położenie</t>
  </si>
  <si>
    <t>x1</t>
  </si>
  <si>
    <t>y1</t>
  </si>
  <si>
    <t>x2</t>
  </si>
  <si>
    <t>y2</t>
  </si>
  <si>
    <t>Powierzchnia</t>
  </si>
  <si>
    <t>r</t>
  </si>
  <si>
    <t>x środka okręgu</t>
  </si>
  <si>
    <t>y środka okręgu</t>
  </si>
  <si>
    <t>punkt przecięcia</t>
  </si>
  <si>
    <t>z powierzchnią</t>
  </si>
  <si>
    <t>radiany</t>
  </si>
  <si>
    <t>a</t>
  </si>
  <si>
    <t>b</t>
  </si>
  <si>
    <t>Normalna ax+b</t>
  </si>
  <si>
    <t>kąt wejściowy</t>
  </si>
  <si>
    <t>SNELLIUS</t>
  </si>
  <si>
    <t>wyjściowy</t>
  </si>
  <si>
    <t>WSP ZAŁAMANIA</t>
  </si>
  <si>
    <t>WYJŚCIOWA</t>
  </si>
  <si>
    <t>PANEL UŻYTKOWNIKA</t>
  </si>
  <si>
    <t>grubość</t>
  </si>
  <si>
    <t>kąt wzgl OX</t>
  </si>
  <si>
    <t>punkt startowy (y)</t>
  </si>
  <si>
    <t>Prosta startowa</t>
  </si>
  <si>
    <t>ZA SOCZEWKĄ</t>
  </si>
  <si>
    <t>OGNISKO</t>
  </si>
  <si>
    <t>INFO</t>
  </si>
  <si>
    <t>ognisko (x)</t>
  </si>
  <si>
    <t>czołowa</t>
  </si>
  <si>
    <t>ogniskowa</t>
  </si>
  <si>
    <t>WSP WZGLEDNY</t>
  </si>
  <si>
    <t>n ośrodka</t>
  </si>
  <si>
    <t>n soczewki</t>
  </si>
  <si>
    <t>krzywizna 2</t>
  </si>
  <si>
    <t>krzywizna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</si>
</sst>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zcionka tekstu podstawowego"/>
      <family val="2"/>
      <charset val="238"/>
    </font>
    <font>
      <b/>
      <sz val="9"/>
      <color indexed="81"/>
      <name val="Tahoma"/>
      <family val="2"/>
      <charset val="238"/>
    </font>
    <font>
      <sz val="11"/>
      <color rgb="FF000000"/>
      <name val="Czcionka tekstu podstawowego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Fill="1" applyBorder="1"/>
    <xf numFmtId="0" fontId="0" fillId="3" borderId="0" xfId="0" applyFill="1"/>
    <xf numFmtId="0" fontId="0" fillId="0" borderId="0" xfId="0" applyFill="1" applyBorder="1"/>
    <xf numFmtId="0" fontId="0" fillId="0" borderId="10" xfId="0" applyBorder="1"/>
    <xf numFmtId="0" fontId="0" fillId="0" borderId="11" xfId="0" applyFill="1" applyBorder="1"/>
    <xf numFmtId="0" fontId="0" fillId="0" borderId="12" xfId="0" applyBorder="1"/>
    <xf numFmtId="0" fontId="0" fillId="2" borderId="13" xfId="0" applyFill="1" applyBorder="1"/>
    <xf numFmtId="0" fontId="0" fillId="0" borderId="14" xfId="0" applyBorder="1"/>
    <xf numFmtId="0" fontId="0" fillId="2" borderId="6" xfId="0" applyFill="1" applyBorder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0" fillId="0" borderId="13" xfId="0" applyBorder="1"/>
    <xf numFmtId="0" fontId="0" fillId="4" borderId="17" xfId="0" applyFill="1" applyBorder="1"/>
    <xf numFmtId="0" fontId="0" fillId="4" borderId="18" xfId="0" applyFill="1" applyBorder="1"/>
    <xf numFmtId="0" fontId="0" fillId="0" borderId="19" xfId="0" applyBorder="1"/>
    <xf numFmtId="0" fontId="0" fillId="5" borderId="0" xfId="0" applyFill="1"/>
    <xf numFmtId="0" fontId="0" fillId="5" borderId="1" xfId="0" applyFill="1" applyBorder="1"/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Propagacja promienia</a:t>
            </a:r>
            <a:r>
              <a:rPr lang="pl-PL" baseline="0"/>
              <a:t> świetlnego w soczewce grubej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3.3665658110119762E-2"/>
          <c:y val="9.4436274509803936E-2"/>
          <c:w val="0.93373003347131478"/>
          <c:h val="0.82008549482785242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soczewka!$L$6:$L$206</c:f>
              <c:numCache>
                <c:formatCode>General</c:formatCode>
                <c:ptCount val="201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9.5</c:v>
                </c:pt>
                <c:pt idx="55">
                  <c:v>9.5</c:v>
                </c:pt>
                <c:pt idx="56">
                  <c:v>9.5</c:v>
                </c:pt>
                <c:pt idx="57">
                  <c:v>9.5</c:v>
                </c:pt>
                <c:pt idx="58">
                  <c:v>9.5</c:v>
                </c:pt>
                <c:pt idx="59">
                  <c:v>9.5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9.5</c:v>
                </c:pt>
                <c:pt idx="83">
                  <c:v>9.5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9.5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9.5</c:v>
                </c:pt>
                <c:pt idx="100">
                  <c:v>9.5</c:v>
                </c:pt>
                <c:pt idx="101">
                  <c:v>9.5</c:v>
                </c:pt>
                <c:pt idx="102">
                  <c:v>9.5</c:v>
                </c:pt>
                <c:pt idx="103">
                  <c:v>9.5</c:v>
                </c:pt>
                <c:pt idx="104">
                  <c:v>9.5</c:v>
                </c:pt>
                <c:pt idx="105">
                  <c:v>9.5</c:v>
                </c:pt>
                <c:pt idx="106">
                  <c:v>9.5</c:v>
                </c:pt>
                <c:pt idx="107">
                  <c:v>9.5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9.5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9.5</c:v>
                </c:pt>
                <c:pt idx="134">
                  <c:v>9.5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9.5</c:v>
                </c:pt>
                <c:pt idx="146">
                  <c:v>9.5</c:v>
                </c:pt>
                <c:pt idx="147">
                  <c:v>9.5</c:v>
                </c:pt>
                <c:pt idx="148">
                  <c:v>9.5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9.5</c:v>
                </c:pt>
                <c:pt idx="161">
                  <c:v>9.5</c:v>
                </c:pt>
                <c:pt idx="162">
                  <c:v>9.5</c:v>
                </c:pt>
                <c:pt idx="163">
                  <c:v>9.5</c:v>
                </c:pt>
                <c:pt idx="164">
                  <c:v>9.5</c:v>
                </c:pt>
                <c:pt idx="165">
                  <c:v>9.5</c:v>
                </c:pt>
                <c:pt idx="166">
                  <c:v>9.5</c:v>
                </c:pt>
                <c:pt idx="167">
                  <c:v>9.5</c:v>
                </c:pt>
                <c:pt idx="168">
                  <c:v>9.5</c:v>
                </c:pt>
                <c:pt idx="169">
                  <c:v>9.5</c:v>
                </c:pt>
                <c:pt idx="170">
                  <c:v>9.5</c:v>
                </c:pt>
                <c:pt idx="171">
                  <c:v>9.5</c:v>
                </c:pt>
                <c:pt idx="172">
                  <c:v>9.5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9.5</c:v>
                </c:pt>
                <c:pt idx="178">
                  <c:v>9.5</c:v>
                </c:pt>
                <c:pt idx="179">
                  <c:v>9.5</c:v>
                </c:pt>
                <c:pt idx="180">
                  <c:v>9.5</c:v>
                </c:pt>
                <c:pt idx="181">
                  <c:v>9.5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</c:numCache>
            </c:numRef>
          </c:xVal>
          <c:yVal>
            <c:numRef>
              <c:f>soczewka!$M$6:$M$206</c:f>
              <c:numCache>
                <c:formatCode>General</c:formatCode>
                <c:ptCount val="201"/>
                <c:pt idx="0">
                  <c:v>-4.9999999999999902</c:v>
                </c:pt>
                <c:pt idx="1">
                  <c:v>-4.9499999999999904</c:v>
                </c:pt>
                <c:pt idx="2">
                  <c:v>-4.8999999999999906</c:v>
                </c:pt>
                <c:pt idx="3">
                  <c:v>-4.8499999999999908</c:v>
                </c:pt>
                <c:pt idx="4">
                  <c:v>-4.7999999999999909</c:v>
                </c:pt>
                <c:pt idx="5">
                  <c:v>-4.7499999999999911</c:v>
                </c:pt>
                <c:pt idx="6">
                  <c:v>-4.6999999999999913</c:v>
                </c:pt>
                <c:pt idx="7">
                  <c:v>-4.6499999999999915</c:v>
                </c:pt>
                <c:pt idx="8">
                  <c:v>-4.5999999999999917</c:v>
                </c:pt>
                <c:pt idx="9">
                  <c:v>-4.5499999999999918</c:v>
                </c:pt>
                <c:pt idx="10">
                  <c:v>-4.499999999999992</c:v>
                </c:pt>
                <c:pt idx="11">
                  <c:v>-4.4499999999999922</c:v>
                </c:pt>
                <c:pt idx="12">
                  <c:v>-4.3999999999999924</c:v>
                </c:pt>
                <c:pt idx="13">
                  <c:v>-4.3499999999999925</c:v>
                </c:pt>
                <c:pt idx="14">
                  <c:v>-4.2999999999999927</c:v>
                </c:pt>
                <c:pt idx="15">
                  <c:v>-4.2499999999999929</c:v>
                </c:pt>
                <c:pt idx="16">
                  <c:v>-4.1999999999999931</c:v>
                </c:pt>
                <c:pt idx="17">
                  <c:v>-4.1499999999999932</c:v>
                </c:pt>
                <c:pt idx="18">
                  <c:v>-4.0999999999999934</c:v>
                </c:pt>
                <c:pt idx="19">
                  <c:v>-4.0499999999999936</c:v>
                </c:pt>
                <c:pt idx="20">
                  <c:v>-3.9999999999999938</c:v>
                </c:pt>
                <c:pt idx="21">
                  <c:v>-3.949999999999994</c:v>
                </c:pt>
                <c:pt idx="22">
                  <c:v>-3.8999999999999941</c:v>
                </c:pt>
                <c:pt idx="23">
                  <c:v>-3.8499999999999943</c:v>
                </c:pt>
                <c:pt idx="24">
                  <c:v>-3.7999999999999945</c:v>
                </c:pt>
                <c:pt idx="25">
                  <c:v>-3.7499999999999947</c:v>
                </c:pt>
                <c:pt idx="26">
                  <c:v>-3.6999999999999948</c:v>
                </c:pt>
                <c:pt idx="27">
                  <c:v>-3.649999999999995</c:v>
                </c:pt>
                <c:pt idx="28">
                  <c:v>-3.5999999999999952</c:v>
                </c:pt>
                <c:pt idx="29">
                  <c:v>-3.5499999999999954</c:v>
                </c:pt>
                <c:pt idx="30">
                  <c:v>-3.4999999999999956</c:v>
                </c:pt>
                <c:pt idx="31">
                  <c:v>-3.4499999999999957</c:v>
                </c:pt>
                <c:pt idx="32">
                  <c:v>-3.3999999999999959</c:v>
                </c:pt>
                <c:pt idx="33">
                  <c:v>-3.3499999999999961</c:v>
                </c:pt>
                <c:pt idx="34">
                  <c:v>-3.2999999999999963</c:v>
                </c:pt>
                <c:pt idx="35">
                  <c:v>-3.2499999999999964</c:v>
                </c:pt>
                <c:pt idx="36">
                  <c:v>-3.1999999999999966</c:v>
                </c:pt>
                <c:pt idx="37">
                  <c:v>-3.1499999999999968</c:v>
                </c:pt>
                <c:pt idx="38">
                  <c:v>-3.099999999999997</c:v>
                </c:pt>
                <c:pt idx="39">
                  <c:v>-3.0499999999999972</c:v>
                </c:pt>
                <c:pt idx="40">
                  <c:v>-2.9999999999999973</c:v>
                </c:pt>
                <c:pt idx="41">
                  <c:v>-2.9499999999999975</c:v>
                </c:pt>
                <c:pt idx="42">
                  <c:v>-2.8999999999999977</c:v>
                </c:pt>
                <c:pt idx="43">
                  <c:v>-2.8499999999999979</c:v>
                </c:pt>
                <c:pt idx="44">
                  <c:v>-2.799999999999998</c:v>
                </c:pt>
                <c:pt idx="45">
                  <c:v>-2.7499999999999982</c:v>
                </c:pt>
                <c:pt idx="46">
                  <c:v>-2.6999999999999984</c:v>
                </c:pt>
                <c:pt idx="47">
                  <c:v>-2.6499999999999986</c:v>
                </c:pt>
                <c:pt idx="48">
                  <c:v>-2.5999999999999988</c:v>
                </c:pt>
                <c:pt idx="49">
                  <c:v>-2.5499999999999989</c:v>
                </c:pt>
                <c:pt idx="50">
                  <c:v>-2.4999999999999991</c:v>
                </c:pt>
                <c:pt idx="51">
                  <c:v>-2.4499999999999993</c:v>
                </c:pt>
                <c:pt idx="52">
                  <c:v>-2.3999999999999995</c:v>
                </c:pt>
                <c:pt idx="53">
                  <c:v>-2.3499999999999996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-2.1500000000000004</c:v>
                </c:pt>
                <c:pt idx="58">
                  <c:v>-2.1000000000000005</c:v>
                </c:pt>
                <c:pt idx="59">
                  <c:v>-2.0500000000000007</c:v>
                </c:pt>
                <c:pt idx="60">
                  <c:v>-2.0000000000000009</c:v>
                </c:pt>
                <c:pt idx="61">
                  <c:v>-1.9500000000000011</c:v>
                </c:pt>
                <c:pt idx="62">
                  <c:v>-1.900000000000001</c:v>
                </c:pt>
                <c:pt idx="63">
                  <c:v>-1.850000000000001</c:v>
                </c:pt>
                <c:pt idx="64">
                  <c:v>-1.8000000000000009</c:v>
                </c:pt>
                <c:pt idx="65">
                  <c:v>-1.7500000000000009</c:v>
                </c:pt>
                <c:pt idx="66">
                  <c:v>-1.7000000000000008</c:v>
                </c:pt>
                <c:pt idx="67">
                  <c:v>-1.6500000000000008</c:v>
                </c:pt>
                <c:pt idx="68">
                  <c:v>-1.6000000000000008</c:v>
                </c:pt>
                <c:pt idx="69">
                  <c:v>-1.5500000000000007</c:v>
                </c:pt>
                <c:pt idx="70">
                  <c:v>-1.5000000000000007</c:v>
                </c:pt>
                <c:pt idx="71">
                  <c:v>-1.4500000000000006</c:v>
                </c:pt>
                <c:pt idx="72">
                  <c:v>-1.4000000000000006</c:v>
                </c:pt>
                <c:pt idx="73">
                  <c:v>-1.3500000000000005</c:v>
                </c:pt>
                <c:pt idx="74">
                  <c:v>-1.3000000000000005</c:v>
                </c:pt>
                <c:pt idx="75">
                  <c:v>-1.2500000000000004</c:v>
                </c:pt>
                <c:pt idx="76">
                  <c:v>-1.2000000000000004</c:v>
                </c:pt>
                <c:pt idx="77">
                  <c:v>-1.1500000000000004</c:v>
                </c:pt>
                <c:pt idx="78">
                  <c:v>-1.1000000000000003</c:v>
                </c:pt>
                <c:pt idx="79">
                  <c:v>-1.0500000000000003</c:v>
                </c:pt>
                <c:pt idx="80">
                  <c:v>-1.0000000000000002</c:v>
                </c:pt>
                <c:pt idx="81">
                  <c:v>-0.95000000000000029</c:v>
                </c:pt>
                <c:pt idx="82">
                  <c:v>-0.90000000000000024</c:v>
                </c:pt>
                <c:pt idx="83">
                  <c:v>-0.8500000000000002</c:v>
                </c:pt>
                <c:pt idx="84">
                  <c:v>-0.80000000000000016</c:v>
                </c:pt>
                <c:pt idx="85">
                  <c:v>-0.75000000000000011</c:v>
                </c:pt>
                <c:pt idx="86">
                  <c:v>-0.70000000000000007</c:v>
                </c:pt>
                <c:pt idx="87">
                  <c:v>-0.65</c:v>
                </c:pt>
                <c:pt idx="88">
                  <c:v>-0.6</c:v>
                </c:pt>
                <c:pt idx="89">
                  <c:v>-0.54999999999999993</c:v>
                </c:pt>
                <c:pt idx="90">
                  <c:v>-0.49999999999999994</c:v>
                </c:pt>
                <c:pt idx="91">
                  <c:v>-0.44999999999999996</c:v>
                </c:pt>
                <c:pt idx="92">
                  <c:v>-0.39999999999999997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-0.15000000000000002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0.15000000000000002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0.39999999999999997</c:v>
                </c:pt>
                <c:pt idx="109">
                  <c:v>0.44999999999999996</c:v>
                </c:pt>
                <c:pt idx="110">
                  <c:v>0.49999999999999994</c:v>
                </c:pt>
                <c:pt idx="111">
                  <c:v>0.54999999999999993</c:v>
                </c:pt>
                <c:pt idx="112">
                  <c:v>0.6</c:v>
                </c:pt>
                <c:pt idx="113">
                  <c:v>0.65</c:v>
                </c:pt>
                <c:pt idx="114">
                  <c:v>0.70000000000000007</c:v>
                </c:pt>
                <c:pt idx="115">
                  <c:v>0.75000000000000011</c:v>
                </c:pt>
                <c:pt idx="116">
                  <c:v>0.80000000000000016</c:v>
                </c:pt>
                <c:pt idx="117">
                  <c:v>0.8500000000000002</c:v>
                </c:pt>
                <c:pt idx="118">
                  <c:v>0.90000000000000024</c:v>
                </c:pt>
                <c:pt idx="119">
                  <c:v>0.95000000000000029</c:v>
                </c:pt>
                <c:pt idx="120">
                  <c:v>1.0000000000000002</c:v>
                </c:pt>
                <c:pt idx="121">
                  <c:v>1.0500000000000003</c:v>
                </c:pt>
                <c:pt idx="122">
                  <c:v>1.1000000000000003</c:v>
                </c:pt>
                <c:pt idx="123">
                  <c:v>1.1500000000000004</c:v>
                </c:pt>
                <c:pt idx="124">
                  <c:v>1.2000000000000004</c:v>
                </c:pt>
                <c:pt idx="125">
                  <c:v>1.2500000000000004</c:v>
                </c:pt>
                <c:pt idx="126">
                  <c:v>1.3000000000000005</c:v>
                </c:pt>
                <c:pt idx="127">
                  <c:v>1.3500000000000005</c:v>
                </c:pt>
                <c:pt idx="128">
                  <c:v>1.4000000000000006</c:v>
                </c:pt>
                <c:pt idx="129">
                  <c:v>1.4500000000000006</c:v>
                </c:pt>
                <c:pt idx="130">
                  <c:v>1.5000000000000007</c:v>
                </c:pt>
                <c:pt idx="131">
                  <c:v>1.5500000000000007</c:v>
                </c:pt>
                <c:pt idx="132">
                  <c:v>1.6000000000000008</c:v>
                </c:pt>
                <c:pt idx="133">
                  <c:v>1.6500000000000008</c:v>
                </c:pt>
                <c:pt idx="134">
                  <c:v>1.7000000000000008</c:v>
                </c:pt>
                <c:pt idx="135">
                  <c:v>1.7500000000000009</c:v>
                </c:pt>
                <c:pt idx="136">
                  <c:v>1.8000000000000009</c:v>
                </c:pt>
                <c:pt idx="137">
                  <c:v>1.850000000000001</c:v>
                </c:pt>
                <c:pt idx="138">
                  <c:v>1.900000000000001</c:v>
                </c:pt>
                <c:pt idx="139">
                  <c:v>1.9500000000000011</c:v>
                </c:pt>
                <c:pt idx="140">
                  <c:v>2.0000000000000009</c:v>
                </c:pt>
                <c:pt idx="141">
                  <c:v>2.0500000000000007</c:v>
                </c:pt>
                <c:pt idx="142">
                  <c:v>2.1000000000000005</c:v>
                </c:pt>
                <c:pt idx="143">
                  <c:v>2.1500000000000004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2.3499999999999996</c:v>
                </c:pt>
                <c:pt idx="148">
                  <c:v>2.3999999999999995</c:v>
                </c:pt>
                <c:pt idx="149">
                  <c:v>2.4499999999999993</c:v>
                </c:pt>
                <c:pt idx="150">
                  <c:v>2.4999999999999991</c:v>
                </c:pt>
                <c:pt idx="151">
                  <c:v>2.5499999999999989</c:v>
                </c:pt>
                <c:pt idx="152">
                  <c:v>2.5999999999999988</c:v>
                </c:pt>
                <c:pt idx="153">
                  <c:v>2.6499999999999986</c:v>
                </c:pt>
                <c:pt idx="154">
                  <c:v>2.6999999999999984</c:v>
                </c:pt>
                <c:pt idx="155">
                  <c:v>2.7499999999999982</c:v>
                </c:pt>
                <c:pt idx="156">
                  <c:v>2.799999999999998</c:v>
                </c:pt>
                <c:pt idx="157">
                  <c:v>2.8499999999999979</c:v>
                </c:pt>
                <c:pt idx="158">
                  <c:v>2.8999999999999977</c:v>
                </c:pt>
                <c:pt idx="159">
                  <c:v>2.9499999999999975</c:v>
                </c:pt>
                <c:pt idx="160">
                  <c:v>2.9999999999999973</c:v>
                </c:pt>
                <c:pt idx="161">
                  <c:v>3.0499999999999972</c:v>
                </c:pt>
                <c:pt idx="162">
                  <c:v>3.099999999999997</c:v>
                </c:pt>
                <c:pt idx="163">
                  <c:v>3.1499999999999968</c:v>
                </c:pt>
                <c:pt idx="164">
                  <c:v>3.1999999999999966</c:v>
                </c:pt>
                <c:pt idx="165">
                  <c:v>3.2499999999999964</c:v>
                </c:pt>
                <c:pt idx="166">
                  <c:v>3.2999999999999963</c:v>
                </c:pt>
                <c:pt idx="167">
                  <c:v>3.3499999999999961</c:v>
                </c:pt>
                <c:pt idx="168">
                  <c:v>3.3999999999999959</c:v>
                </c:pt>
                <c:pt idx="169">
                  <c:v>3.4499999999999957</c:v>
                </c:pt>
                <c:pt idx="170">
                  <c:v>3.4999999999999956</c:v>
                </c:pt>
                <c:pt idx="171">
                  <c:v>3.5499999999999954</c:v>
                </c:pt>
                <c:pt idx="172">
                  <c:v>3.5999999999999952</c:v>
                </c:pt>
                <c:pt idx="173">
                  <c:v>3.649999999999995</c:v>
                </c:pt>
                <c:pt idx="174">
                  <c:v>3.6999999999999948</c:v>
                </c:pt>
                <c:pt idx="175">
                  <c:v>3.7499999999999947</c:v>
                </c:pt>
                <c:pt idx="176">
                  <c:v>3.7999999999999945</c:v>
                </c:pt>
                <c:pt idx="177">
                  <c:v>3.8499999999999943</c:v>
                </c:pt>
                <c:pt idx="178">
                  <c:v>3.8999999999999941</c:v>
                </c:pt>
                <c:pt idx="179">
                  <c:v>3.949999999999994</c:v>
                </c:pt>
                <c:pt idx="180">
                  <c:v>3.9999999999999938</c:v>
                </c:pt>
                <c:pt idx="181">
                  <c:v>4.0499999999999936</c:v>
                </c:pt>
                <c:pt idx="182">
                  <c:v>4.0999999999999934</c:v>
                </c:pt>
                <c:pt idx="183">
                  <c:v>4.1499999999999932</c:v>
                </c:pt>
                <c:pt idx="184">
                  <c:v>4.1999999999999931</c:v>
                </c:pt>
                <c:pt idx="185">
                  <c:v>4.2499999999999929</c:v>
                </c:pt>
                <c:pt idx="186">
                  <c:v>4.2999999999999927</c:v>
                </c:pt>
                <c:pt idx="187">
                  <c:v>4.3499999999999925</c:v>
                </c:pt>
                <c:pt idx="188">
                  <c:v>4.3999999999999924</c:v>
                </c:pt>
                <c:pt idx="189">
                  <c:v>4.4499999999999922</c:v>
                </c:pt>
                <c:pt idx="190">
                  <c:v>4.499999999999992</c:v>
                </c:pt>
                <c:pt idx="191">
                  <c:v>4.5499999999999918</c:v>
                </c:pt>
                <c:pt idx="192">
                  <c:v>4.5999999999999917</c:v>
                </c:pt>
                <c:pt idx="193">
                  <c:v>4.6499999999999915</c:v>
                </c:pt>
                <c:pt idx="194">
                  <c:v>4.6999999999999913</c:v>
                </c:pt>
                <c:pt idx="195">
                  <c:v>4.7499999999999911</c:v>
                </c:pt>
                <c:pt idx="196">
                  <c:v>4.7999999999999909</c:v>
                </c:pt>
                <c:pt idx="197">
                  <c:v>4.8499999999999908</c:v>
                </c:pt>
                <c:pt idx="198">
                  <c:v>4.8999999999999906</c:v>
                </c:pt>
                <c:pt idx="199">
                  <c:v>4.9499999999999904</c:v>
                </c:pt>
                <c:pt idx="200">
                  <c:v>4.9999999999999902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F-41ED-A61A-3AD3063C65A3}"/>
            </c:ext>
          </c:extLst>
        </c:ser>
        <c:ser>
          <c:idx val="3"/>
          <c:order val="1"/>
          <c:tx>
            <c:v> 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soczewka!$T$6:$T$206</c:f>
              <c:numCache>
                <c:formatCode>General</c:formatCode>
                <c:ptCount val="201"/>
                <c:pt idx="0">
                  <c:v>10.500000000000004</c:v>
                </c:pt>
                <c:pt idx="1">
                  <c:v>10.510153072014166</c:v>
                </c:pt>
                <c:pt idx="2">
                  <c:v>10.520199961328235</c:v>
                </c:pt>
                <c:pt idx="3">
                  <c:v>10.530140798438126</c:v>
                </c:pt>
                <c:pt idx="4">
                  <c:v>10.539975712251909</c:v>
                </c:pt>
                <c:pt idx="5">
                  <c:v>10.54970483009858</c:v>
                </c:pt>
                <c:pt idx="6">
                  <c:v>10.559328277736704</c:v>
                </c:pt>
                <c:pt idx="7">
                  <c:v>10.56884617936295</c:v>
                </c:pt>
                <c:pt idx="8">
                  <c:v>10.578258657620491</c:v>
                </c:pt>
                <c:pt idx="9">
                  <c:v>10.587565833607261</c:v>
                </c:pt>
                <c:pt idx="10">
                  <c:v>10.596767826884097</c:v>
                </c:pt>
                <c:pt idx="11">
                  <c:v>10.605864755482788</c:v>
                </c:pt>
                <c:pt idx="12">
                  <c:v>10.614856735913946</c:v>
                </c:pt>
                <c:pt idx="13">
                  <c:v>10.623743883174807</c:v>
                </c:pt>
                <c:pt idx="14">
                  <c:v>10.632526310756877</c:v>
                </c:pt>
                <c:pt idx="15">
                  <c:v>10.641204130653485</c:v>
                </c:pt>
                <c:pt idx="16">
                  <c:v>10.6497774533672</c:v>
                </c:pt>
                <c:pt idx="17">
                  <c:v>10.658246387917156</c:v>
                </c:pt>
                <c:pt idx="18">
                  <c:v>10.666611041846227</c:v>
                </c:pt>
                <c:pt idx="19">
                  <c:v>10.67487152122812</c:v>
                </c:pt>
                <c:pt idx="20">
                  <c:v>10.683027930674353</c:v>
                </c:pt>
                <c:pt idx="21">
                  <c:v>10.691080373341094</c:v>
                </c:pt>
                <c:pt idx="22">
                  <c:v>10.699028950935936</c:v>
                </c:pt>
                <c:pt idx="23">
                  <c:v>10.706873763724506</c:v>
                </c:pt>
                <c:pt idx="24">
                  <c:v>10.714614910537023</c:v>
                </c:pt>
                <c:pt idx="25">
                  <c:v>10.722252488774703</c:v>
                </c:pt>
                <c:pt idx="26">
                  <c:v>10.729786594416108</c:v>
                </c:pt>
                <c:pt idx="27">
                  <c:v>10.737217322023316</c:v>
                </c:pt>
                <c:pt idx="28">
                  <c:v>10.744544764748071</c:v>
                </c:pt>
                <c:pt idx="29">
                  <c:v>10.751769014337761</c:v>
                </c:pt>
                <c:pt idx="30">
                  <c:v>10.758890161141345</c:v>
                </c:pt>
                <c:pt idx="31">
                  <c:v>10.765908294115153</c:v>
                </c:pt>
                <c:pt idx="32">
                  <c:v>10.772823500828572</c:v>
                </c:pt>
                <c:pt idx="33">
                  <c:v>10.779635867469668</c:v>
                </c:pt>
                <c:pt idx="34">
                  <c:v>10.786345478850684</c:v>
                </c:pt>
                <c:pt idx="35">
                  <c:v>10.792952418413456</c:v>
                </c:pt>
                <c:pt idx="36">
                  <c:v>10.799456768234709</c:v>
                </c:pt>
                <c:pt idx="37">
                  <c:v>10.80585860903129</c:v>
                </c:pt>
                <c:pt idx="38">
                  <c:v>10.812158020165267</c:v>
                </c:pt>
                <c:pt idx="39">
                  <c:v>10.818355079648974</c:v>
                </c:pt>
                <c:pt idx="40">
                  <c:v>10.824449864149933</c:v>
                </c:pt>
                <c:pt idx="41">
                  <c:v>10.830442448995687</c:v>
                </c:pt>
                <c:pt idx="42">
                  <c:v>10.836332908178555</c:v>
                </c:pt>
                <c:pt idx="43">
                  <c:v>10.842121314360288</c:v>
                </c:pt>
                <c:pt idx="44">
                  <c:v>10.847807738876615</c:v>
                </c:pt>
                <c:pt idx="45">
                  <c:v>10.853392251741742</c:v>
                </c:pt>
                <c:pt idx="46">
                  <c:v>10.858874921652713</c:v>
                </c:pt>
                <c:pt idx="47">
                  <c:v>10.864255815993722</c:v>
                </c:pt>
                <c:pt idx="48">
                  <c:v>10.869535000840305</c:v>
                </c:pt>
                <c:pt idx="49">
                  <c:v>10.874712540963468</c:v>
                </c:pt>
                <c:pt idx="50">
                  <c:v>10.879788499833719</c:v>
                </c:pt>
                <c:pt idx="51">
                  <c:v>10.884762939625009</c:v>
                </c:pt>
                <c:pt idx="52">
                  <c:v>10.889635921218588</c:v>
                </c:pt>
                <c:pt idx="53">
                  <c:v>10.8944075042068</c:v>
                </c:pt>
                <c:pt idx="54">
                  <c:v>10.899077746896744</c:v>
                </c:pt>
                <c:pt idx="55">
                  <c:v>10.903646706313893</c:v>
                </c:pt>
                <c:pt idx="56">
                  <c:v>10.908114438205629</c:v>
                </c:pt>
                <c:pt idx="57">
                  <c:v>10.912480997044653</c:v>
                </c:pt>
                <c:pt idx="58">
                  <c:v>10.916746436032362</c:v>
                </c:pt>
                <c:pt idx="59">
                  <c:v>10.920910807102121</c:v>
                </c:pt>
                <c:pt idx="60">
                  <c:v>10.924974160922442</c:v>
                </c:pt>
                <c:pt idx="61">
                  <c:v>10.928936546900115</c:v>
                </c:pt>
                <c:pt idx="62">
                  <c:v>10.93279801318322</c:v>
                </c:pt>
                <c:pt idx="63">
                  <c:v>10.936558606664079</c:v>
                </c:pt>
                <c:pt idx="64">
                  <c:v>10.940218372982137</c:v>
                </c:pt>
                <c:pt idx="65">
                  <c:v>10.943777356526748</c:v>
                </c:pt>
                <c:pt idx="66">
                  <c:v>10.947235600439878</c:v>
                </c:pt>
                <c:pt idx="67">
                  <c:v>10.950593146618747</c:v>
                </c:pt>
                <c:pt idx="68">
                  <c:v>10.953850035718368</c:v>
                </c:pt>
                <c:pt idx="69">
                  <c:v>10.957006307154053</c:v>
                </c:pt>
                <c:pt idx="70">
                  <c:v>10.960061999103779</c:v>
                </c:pt>
                <c:pt idx="71">
                  <c:v>10.963017148510531</c:v>
                </c:pt>
                <c:pt idx="72">
                  <c:v>10.965871791084531</c:v>
                </c:pt>
                <c:pt idx="73">
                  <c:v>10.96862596130542</c:v>
                </c:pt>
                <c:pt idx="74">
                  <c:v>10.971279692424336</c:v>
                </c:pt>
                <c:pt idx="75">
                  <c:v>10.973833016465942</c:v>
                </c:pt>
                <c:pt idx="76">
                  <c:v>10.976285964230357</c:v>
                </c:pt>
                <c:pt idx="77">
                  <c:v>10.978638565295025</c:v>
                </c:pt>
                <c:pt idx="78">
                  <c:v>10.98089084801649</c:v>
                </c:pt>
                <c:pt idx="79">
                  <c:v>10.983042839532139</c:v>
                </c:pt>
                <c:pt idx="80">
                  <c:v>10.985094565761813</c:v>
                </c:pt>
                <c:pt idx="81">
                  <c:v>10.987046051409379</c:v>
                </c:pt>
                <c:pt idx="82">
                  <c:v>10.988897319964241</c:v>
                </c:pt>
                <c:pt idx="83">
                  <c:v>10.990648393702717</c:v>
                </c:pt>
                <c:pt idx="84">
                  <c:v>10.992299293689424</c:v>
                </c:pt>
                <c:pt idx="85">
                  <c:v>10.993850039778515</c:v>
                </c:pt>
                <c:pt idx="86">
                  <c:v>10.995300650614897</c:v>
                </c:pt>
                <c:pt idx="87">
                  <c:v>10.996651143635333</c:v>
                </c:pt>
                <c:pt idx="88">
                  <c:v>10.997901535069513</c:v>
                </c:pt>
                <c:pt idx="89">
                  <c:v>10.999051839941011</c:v>
                </c:pt>
                <c:pt idx="90">
                  <c:v>11.000102072068195</c:v>
                </c:pt>
                <c:pt idx="91">
                  <c:v>11.001052244065065</c:v>
                </c:pt>
                <c:pt idx="92">
                  <c:v>11.001902367342002</c:v>
                </c:pt>
                <c:pt idx="93">
                  <c:v>11.002652452106453</c:v>
                </c:pt>
                <c:pt idx="94">
                  <c:v>11.003302507363554</c:v>
                </c:pt>
                <c:pt idx="95">
                  <c:v>11.003852540916657</c:v>
                </c:pt>
                <c:pt idx="96">
                  <c:v>11.004302559367812</c:v>
                </c:pt>
                <c:pt idx="97">
                  <c:v>11.004652568118146</c:v>
                </c:pt>
                <c:pt idx="98">
                  <c:v>11.004902571368213</c:v>
                </c:pt>
                <c:pt idx="99">
                  <c:v>11.005052572118217</c:v>
                </c:pt>
                <c:pt idx="100">
                  <c:v>11.005102572168219</c:v>
                </c:pt>
                <c:pt idx="101">
                  <c:v>11.005052572118217</c:v>
                </c:pt>
                <c:pt idx="102">
                  <c:v>11.004902571368213</c:v>
                </c:pt>
                <c:pt idx="103">
                  <c:v>11.004652568118146</c:v>
                </c:pt>
                <c:pt idx="104">
                  <c:v>11.004302559367812</c:v>
                </c:pt>
                <c:pt idx="105">
                  <c:v>11.003852540916657</c:v>
                </c:pt>
                <c:pt idx="106">
                  <c:v>11.003302507363554</c:v>
                </c:pt>
                <c:pt idx="107">
                  <c:v>11.002652452106453</c:v>
                </c:pt>
                <c:pt idx="108">
                  <c:v>11.001902367342002</c:v>
                </c:pt>
                <c:pt idx="109">
                  <c:v>11.001052244065065</c:v>
                </c:pt>
                <c:pt idx="110">
                  <c:v>11.000102072068195</c:v>
                </c:pt>
                <c:pt idx="111">
                  <c:v>10.999051839941011</c:v>
                </c:pt>
                <c:pt idx="112">
                  <c:v>10.997901535069513</c:v>
                </c:pt>
                <c:pt idx="113">
                  <c:v>10.996651143635333</c:v>
                </c:pt>
                <c:pt idx="114">
                  <c:v>10.995300650614897</c:v>
                </c:pt>
                <c:pt idx="115">
                  <c:v>10.993850039778515</c:v>
                </c:pt>
                <c:pt idx="116">
                  <c:v>10.992299293689424</c:v>
                </c:pt>
                <c:pt idx="117">
                  <c:v>10.990648393702717</c:v>
                </c:pt>
                <c:pt idx="118">
                  <c:v>10.988897319964241</c:v>
                </c:pt>
                <c:pt idx="119">
                  <c:v>10.987046051409379</c:v>
                </c:pt>
                <c:pt idx="120">
                  <c:v>10.985094565761813</c:v>
                </c:pt>
                <c:pt idx="121">
                  <c:v>10.983042839532139</c:v>
                </c:pt>
                <c:pt idx="122">
                  <c:v>10.98089084801649</c:v>
                </c:pt>
                <c:pt idx="123">
                  <c:v>10.978638565295025</c:v>
                </c:pt>
                <c:pt idx="124">
                  <c:v>10.976285964230357</c:v>
                </c:pt>
                <c:pt idx="125">
                  <c:v>10.973833016465942</c:v>
                </c:pt>
                <c:pt idx="126">
                  <c:v>10.971279692424336</c:v>
                </c:pt>
                <c:pt idx="127">
                  <c:v>10.96862596130542</c:v>
                </c:pt>
                <c:pt idx="128">
                  <c:v>10.965871791084531</c:v>
                </c:pt>
                <c:pt idx="129">
                  <c:v>10.963017148510531</c:v>
                </c:pt>
                <c:pt idx="130">
                  <c:v>10.960061999103779</c:v>
                </c:pt>
                <c:pt idx="131">
                  <c:v>10.957006307154053</c:v>
                </c:pt>
                <c:pt idx="132">
                  <c:v>10.953850035718368</c:v>
                </c:pt>
                <c:pt idx="133">
                  <c:v>10.950593146618747</c:v>
                </c:pt>
                <c:pt idx="134">
                  <c:v>10.947235600439878</c:v>
                </c:pt>
                <c:pt idx="135">
                  <c:v>10.943777356526748</c:v>
                </c:pt>
                <c:pt idx="136">
                  <c:v>10.940218372982137</c:v>
                </c:pt>
                <c:pt idx="137">
                  <c:v>10.936558606664079</c:v>
                </c:pt>
                <c:pt idx="138">
                  <c:v>10.93279801318322</c:v>
                </c:pt>
                <c:pt idx="139">
                  <c:v>10.928936546900115</c:v>
                </c:pt>
                <c:pt idx="140">
                  <c:v>10.924974160922442</c:v>
                </c:pt>
                <c:pt idx="141">
                  <c:v>10.920910807102121</c:v>
                </c:pt>
                <c:pt idx="142">
                  <c:v>10.916746436032362</c:v>
                </c:pt>
                <c:pt idx="143">
                  <c:v>10.912480997044653</c:v>
                </c:pt>
                <c:pt idx="144">
                  <c:v>10.908114438205629</c:v>
                </c:pt>
                <c:pt idx="145">
                  <c:v>10.903646706313893</c:v>
                </c:pt>
                <c:pt idx="146">
                  <c:v>10.899077746896744</c:v>
                </c:pt>
                <c:pt idx="147">
                  <c:v>10.8944075042068</c:v>
                </c:pt>
                <c:pt idx="148">
                  <c:v>10.889635921218588</c:v>
                </c:pt>
                <c:pt idx="149">
                  <c:v>10.884762939625009</c:v>
                </c:pt>
                <c:pt idx="150">
                  <c:v>10.879788499833719</c:v>
                </c:pt>
                <c:pt idx="151">
                  <c:v>10.874712540963468</c:v>
                </c:pt>
                <c:pt idx="152">
                  <c:v>10.869535000840305</c:v>
                </c:pt>
                <c:pt idx="153">
                  <c:v>10.864255815993722</c:v>
                </c:pt>
                <c:pt idx="154">
                  <c:v>10.858874921652713</c:v>
                </c:pt>
                <c:pt idx="155">
                  <c:v>10.853392251741742</c:v>
                </c:pt>
                <c:pt idx="156">
                  <c:v>10.847807738876615</c:v>
                </c:pt>
                <c:pt idx="157">
                  <c:v>10.842121314360288</c:v>
                </c:pt>
                <c:pt idx="158">
                  <c:v>10.836332908178555</c:v>
                </c:pt>
                <c:pt idx="159">
                  <c:v>10.830442448995687</c:v>
                </c:pt>
                <c:pt idx="160">
                  <c:v>10.824449864149933</c:v>
                </c:pt>
                <c:pt idx="161">
                  <c:v>10.818355079648974</c:v>
                </c:pt>
                <c:pt idx="162">
                  <c:v>10.812158020165267</c:v>
                </c:pt>
                <c:pt idx="163">
                  <c:v>10.80585860903129</c:v>
                </c:pt>
                <c:pt idx="164">
                  <c:v>10.799456768234709</c:v>
                </c:pt>
                <c:pt idx="165">
                  <c:v>10.792952418413456</c:v>
                </c:pt>
                <c:pt idx="166">
                  <c:v>10.786345478850684</c:v>
                </c:pt>
                <c:pt idx="167">
                  <c:v>10.779635867469668</c:v>
                </c:pt>
                <c:pt idx="168">
                  <c:v>10.772823500828572</c:v>
                </c:pt>
                <c:pt idx="169">
                  <c:v>10.765908294115153</c:v>
                </c:pt>
                <c:pt idx="170">
                  <c:v>10.758890161141345</c:v>
                </c:pt>
                <c:pt idx="171">
                  <c:v>10.751769014337761</c:v>
                </c:pt>
                <c:pt idx="172">
                  <c:v>10.744544764748071</c:v>
                </c:pt>
                <c:pt idx="173">
                  <c:v>10.737217322023316</c:v>
                </c:pt>
                <c:pt idx="174">
                  <c:v>10.729786594416108</c:v>
                </c:pt>
                <c:pt idx="175">
                  <c:v>10.722252488774703</c:v>
                </c:pt>
                <c:pt idx="176">
                  <c:v>10.714614910537023</c:v>
                </c:pt>
                <c:pt idx="177">
                  <c:v>10.706873763724506</c:v>
                </c:pt>
                <c:pt idx="178">
                  <c:v>10.699028950935936</c:v>
                </c:pt>
                <c:pt idx="179">
                  <c:v>10.691080373341094</c:v>
                </c:pt>
                <c:pt idx="180">
                  <c:v>10.683027930674353</c:v>
                </c:pt>
                <c:pt idx="181">
                  <c:v>10.67487152122812</c:v>
                </c:pt>
                <c:pt idx="182">
                  <c:v>10.666611041846227</c:v>
                </c:pt>
                <c:pt idx="183">
                  <c:v>10.658246387917156</c:v>
                </c:pt>
                <c:pt idx="184">
                  <c:v>10.6497774533672</c:v>
                </c:pt>
                <c:pt idx="185">
                  <c:v>10.641204130653485</c:v>
                </c:pt>
                <c:pt idx="186">
                  <c:v>10.632526310756877</c:v>
                </c:pt>
                <c:pt idx="187">
                  <c:v>10.623743883174807</c:v>
                </c:pt>
                <c:pt idx="188">
                  <c:v>10.614856735913946</c:v>
                </c:pt>
                <c:pt idx="189">
                  <c:v>10.605864755482788</c:v>
                </c:pt>
                <c:pt idx="190">
                  <c:v>10.596767826884097</c:v>
                </c:pt>
                <c:pt idx="191">
                  <c:v>10.587565833607261</c:v>
                </c:pt>
                <c:pt idx="192">
                  <c:v>10.578258657620491</c:v>
                </c:pt>
                <c:pt idx="193">
                  <c:v>10.56884617936295</c:v>
                </c:pt>
                <c:pt idx="194">
                  <c:v>10.559328277736704</c:v>
                </c:pt>
                <c:pt idx="195">
                  <c:v>10.54970483009858</c:v>
                </c:pt>
                <c:pt idx="196">
                  <c:v>10.539975712251909</c:v>
                </c:pt>
                <c:pt idx="197">
                  <c:v>10.530140798438126</c:v>
                </c:pt>
                <c:pt idx="198">
                  <c:v>10.520199961328235</c:v>
                </c:pt>
                <c:pt idx="199">
                  <c:v>10.510153072014166</c:v>
                </c:pt>
                <c:pt idx="200">
                  <c:v>10.500000000000004</c:v>
                </c:pt>
              </c:numCache>
            </c:numRef>
          </c:xVal>
          <c:yVal>
            <c:numRef>
              <c:f>soczewka!$U$6:$U$206</c:f>
              <c:numCache>
                <c:formatCode>General</c:formatCode>
                <c:ptCount val="201"/>
                <c:pt idx="0">
                  <c:v>-4.9999999999999902</c:v>
                </c:pt>
                <c:pt idx="1">
                  <c:v>-4.9499999999999904</c:v>
                </c:pt>
                <c:pt idx="2">
                  <c:v>-4.8999999999999906</c:v>
                </c:pt>
                <c:pt idx="3">
                  <c:v>-4.8499999999999908</c:v>
                </c:pt>
                <c:pt idx="4">
                  <c:v>-4.7999999999999909</c:v>
                </c:pt>
                <c:pt idx="5">
                  <c:v>-4.7499999999999911</c:v>
                </c:pt>
                <c:pt idx="6">
                  <c:v>-4.6999999999999913</c:v>
                </c:pt>
                <c:pt idx="7">
                  <c:v>-4.6499999999999915</c:v>
                </c:pt>
                <c:pt idx="8">
                  <c:v>-4.5999999999999917</c:v>
                </c:pt>
                <c:pt idx="9">
                  <c:v>-4.5499999999999918</c:v>
                </c:pt>
                <c:pt idx="10">
                  <c:v>-4.499999999999992</c:v>
                </c:pt>
                <c:pt idx="11">
                  <c:v>-4.4499999999999922</c:v>
                </c:pt>
                <c:pt idx="12">
                  <c:v>-4.3999999999999924</c:v>
                </c:pt>
                <c:pt idx="13">
                  <c:v>-4.3499999999999925</c:v>
                </c:pt>
                <c:pt idx="14">
                  <c:v>-4.2999999999999927</c:v>
                </c:pt>
                <c:pt idx="15">
                  <c:v>-4.2499999999999929</c:v>
                </c:pt>
                <c:pt idx="16">
                  <c:v>-4.1999999999999931</c:v>
                </c:pt>
                <c:pt idx="17">
                  <c:v>-4.1499999999999932</c:v>
                </c:pt>
                <c:pt idx="18">
                  <c:v>-4.0999999999999934</c:v>
                </c:pt>
                <c:pt idx="19">
                  <c:v>-4.0499999999999936</c:v>
                </c:pt>
                <c:pt idx="20">
                  <c:v>-3.9999999999999938</c:v>
                </c:pt>
                <c:pt idx="21">
                  <c:v>-3.949999999999994</c:v>
                </c:pt>
                <c:pt idx="22">
                  <c:v>-3.8999999999999941</c:v>
                </c:pt>
                <c:pt idx="23">
                  <c:v>-3.8499999999999943</c:v>
                </c:pt>
                <c:pt idx="24">
                  <c:v>-3.7999999999999945</c:v>
                </c:pt>
                <c:pt idx="25">
                  <c:v>-3.7499999999999947</c:v>
                </c:pt>
                <c:pt idx="26">
                  <c:v>-3.6999999999999948</c:v>
                </c:pt>
                <c:pt idx="27">
                  <c:v>-3.649999999999995</c:v>
                </c:pt>
                <c:pt idx="28">
                  <c:v>-3.5999999999999952</c:v>
                </c:pt>
                <c:pt idx="29">
                  <c:v>-3.5499999999999954</c:v>
                </c:pt>
                <c:pt idx="30">
                  <c:v>-3.4999999999999956</c:v>
                </c:pt>
                <c:pt idx="31">
                  <c:v>-3.4499999999999957</c:v>
                </c:pt>
                <c:pt idx="32">
                  <c:v>-3.3999999999999959</c:v>
                </c:pt>
                <c:pt idx="33">
                  <c:v>-3.3499999999999961</c:v>
                </c:pt>
                <c:pt idx="34">
                  <c:v>-3.2999999999999963</c:v>
                </c:pt>
                <c:pt idx="35">
                  <c:v>-3.2499999999999964</c:v>
                </c:pt>
                <c:pt idx="36">
                  <c:v>-3.1999999999999966</c:v>
                </c:pt>
                <c:pt idx="37">
                  <c:v>-3.1499999999999968</c:v>
                </c:pt>
                <c:pt idx="38">
                  <c:v>-3.099999999999997</c:v>
                </c:pt>
                <c:pt idx="39">
                  <c:v>-3.0499999999999972</c:v>
                </c:pt>
                <c:pt idx="40">
                  <c:v>-2.9999999999999973</c:v>
                </c:pt>
                <c:pt idx="41">
                  <c:v>-2.9499999999999975</c:v>
                </c:pt>
                <c:pt idx="42">
                  <c:v>-2.8999999999999977</c:v>
                </c:pt>
                <c:pt idx="43">
                  <c:v>-2.8499999999999979</c:v>
                </c:pt>
                <c:pt idx="44">
                  <c:v>-2.799999999999998</c:v>
                </c:pt>
                <c:pt idx="45">
                  <c:v>-2.7499999999999982</c:v>
                </c:pt>
                <c:pt idx="46">
                  <c:v>-2.6999999999999984</c:v>
                </c:pt>
                <c:pt idx="47">
                  <c:v>-2.6499999999999986</c:v>
                </c:pt>
                <c:pt idx="48">
                  <c:v>-2.5999999999999988</c:v>
                </c:pt>
                <c:pt idx="49">
                  <c:v>-2.5499999999999989</c:v>
                </c:pt>
                <c:pt idx="50">
                  <c:v>-2.4999999999999991</c:v>
                </c:pt>
                <c:pt idx="51">
                  <c:v>-2.4499999999999993</c:v>
                </c:pt>
                <c:pt idx="52">
                  <c:v>-2.3999999999999995</c:v>
                </c:pt>
                <c:pt idx="53">
                  <c:v>-2.3499999999999996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-2.1500000000000004</c:v>
                </c:pt>
                <c:pt idx="58">
                  <c:v>-2.1000000000000005</c:v>
                </c:pt>
                <c:pt idx="59">
                  <c:v>-2.0500000000000007</c:v>
                </c:pt>
                <c:pt idx="60">
                  <c:v>-2.0000000000000009</c:v>
                </c:pt>
                <c:pt idx="61">
                  <c:v>-1.9500000000000011</c:v>
                </c:pt>
                <c:pt idx="62">
                  <c:v>-1.900000000000001</c:v>
                </c:pt>
                <c:pt idx="63">
                  <c:v>-1.850000000000001</c:v>
                </c:pt>
                <c:pt idx="64">
                  <c:v>-1.8000000000000009</c:v>
                </c:pt>
                <c:pt idx="65">
                  <c:v>-1.7500000000000009</c:v>
                </c:pt>
                <c:pt idx="66">
                  <c:v>-1.7000000000000008</c:v>
                </c:pt>
                <c:pt idx="67">
                  <c:v>-1.6500000000000008</c:v>
                </c:pt>
                <c:pt idx="68">
                  <c:v>-1.6000000000000008</c:v>
                </c:pt>
                <c:pt idx="69">
                  <c:v>-1.5500000000000007</c:v>
                </c:pt>
                <c:pt idx="70">
                  <c:v>-1.5000000000000007</c:v>
                </c:pt>
                <c:pt idx="71">
                  <c:v>-1.4500000000000006</c:v>
                </c:pt>
                <c:pt idx="72">
                  <c:v>-1.4000000000000006</c:v>
                </c:pt>
                <c:pt idx="73">
                  <c:v>-1.3500000000000005</c:v>
                </c:pt>
                <c:pt idx="74">
                  <c:v>-1.3000000000000005</c:v>
                </c:pt>
                <c:pt idx="75">
                  <c:v>-1.2500000000000004</c:v>
                </c:pt>
                <c:pt idx="76">
                  <c:v>-1.2000000000000004</c:v>
                </c:pt>
                <c:pt idx="77">
                  <c:v>-1.1500000000000004</c:v>
                </c:pt>
                <c:pt idx="78">
                  <c:v>-1.1000000000000003</c:v>
                </c:pt>
                <c:pt idx="79">
                  <c:v>-1.0500000000000003</c:v>
                </c:pt>
                <c:pt idx="80">
                  <c:v>-1.0000000000000002</c:v>
                </c:pt>
                <c:pt idx="81">
                  <c:v>-0.95000000000000029</c:v>
                </c:pt>
                <c:pt idx="82">
                  <c:v>-0.90000000000000024</c:v>
                </c:pt>
                <c:pt idx="83">
                  <c:v>-0.8500000000000002</c:v>
                </c:pt>
                <c:pt idx="84">
                  <c:v>-0.80000000000000016</c:v>
                </c:pt>
                <c:pt idx="85">
                  <c:v>-0.75000000000000011</c:v>
                </c:pt>
                <c:pt idx="86">
                  <c:v>-0.70000000000000007</c:v>
                </c:pt>
                <c:pt idx="87">
                  <c:v>-0.65</c:v>
                </c:pt>
                <c:pt idx="88">
                  <c:v>-0.6</c:v>
                </c:pt>
                <c:pt idx="89">
                  <c:v>-0.54999999999999993</c:v>
                </c:pt>
                <c:pt idx="90">
                  <c:v>-0.49999999999999994</c:v>
                </c:pt>
                <c:pt idx="91">
                  <c:v>-0.44999999999999996</c:v>
                </c:pt>
                <c:pt idx="92">
                  <c:v>-0.39999999999999997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-0.15000000000000002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0.15000000000000002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0.39999999999999997</c:v>
                </c:pt>
                <c:pt idx="109">
                  <c:v>0.44999999999999996</c:v>
                </c:pt>
                <c:pt idx="110">
                  <c:v>0.49999999999999994</c:v>
                </c:pt>
                <c:pt idx="111">
                  <c:v>0.54999999999999993</c:v>
                </c:pt>
                <c:pt idx="112">
                  <c:v>0.6</c:v>
                </c:pt>
                <c:pt idx="113">
                  <c:v>0.65</c:v>
                </c:pt>
                <c:pt idx="114">
                  <c:v>0.70000000000000007</c:v>
                </c:pt>
                <c:pt idx="115">
                  <c:v>0.75000000000000011</c:v>
                </c:pt>
                <c:pt idx="116">
                  <c:v>0.80000000000000016</c:v>
                </c:pt>
                <c:pt idx="117">
                  <c:v>0.8500000000000002</c:v>
                </c:pt>
                <c:pt idx="118">
                  <c:v>0.90000000000000024</c:v>
                </c:pt>
                <c:pt idx="119">
                  <c:v>0.95000000000000029</c:v>
                </c:pt>
                <c:pt idx="120">
                  <c:v>1.0000000000000002</c:v>
                </c:pt>
                <c:pt idx="121">
                  <c:v>1.0500000000000003</c:v>
                </c:pt>
                <c:pt idx="122">
                  <c:v>1.1000000000000003</c:v>
                </c:pt>
                <c:pt idx="123">
                  <c:v>1.1500000000000004</c:v>
                </c:pt>
                <c:pt idx="124">
                  <c:v>1.2000000000000004</c:v>
                </c:pt>
                <c:pt idx="125">
                  <c:v>1.2500000000000004</c:v>
                </c:pt>
                <c:pt idx="126">
                  <c:v>1.3000000000000005</c:v>
                </c:pt>
                <c:pt idx="127">
                  <c:v>1.3500000000000005</c:v>
                </c:pt>
                <c:pt idx="128">
                  <c:v>1.4000000000000006</c:v>
                </c:pt>
                <c:pt idx="129">
                  <c:v>1.4500000000000006</c:v>
                </c:pt>
                <c:pt idx="130">
                  <c:v>1.5000000000000007</c:v>
                </c:pt>
                <c:pt idx="131">
                  <c:v>1.5500000000000007</c:v>
                </c:pt>
                <c:pt idx="132">
                  <c:v>1.6000000000000008</c:v>
                </c:pt>
                <c:pt idx="133">
                  <c:v>1.6500000000000008</c:v>
                </c:pt>
                <c:pt idx="134">
                  <c:v>1.7000000000000008</c:v>
                </c:pt>
                <c:pt idx="135">
                  <c:v>1.7500000000000009</c:v>
                </c:pt>
                <c:pt idx="136">
                  <c:v>1.8000000000000009</c:v>
                </c:pt>
                <c:pt idx="137">
                  <c:v>1.850000000000001</c:v>
                </c:pt>
                <c:pt idx="138">
                  <c:v>1.900000000000001</c:v>
                </c:pt>
                <c:pt idx="139">
                  <c:v>1.9500000000000011</c:v>
                </c:pt>
                <c:pt idx="140">
                  <c:v>2.0000000000000009</c:v>
                </c:pt>
                <c:pt idx="141">
                  <c:v>2.0500000000000007</c:v>
                </c:pt>
                <c:pt idx="142">
                  <c:v>2.1000000000000005</c:v>
                </c:pt>
                <c:pt idx="143">
                  <c:v>2.1500000000000004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2.3499999999999996</c:v>
                </c:pt>
                <c:pt idx="148">
                  <c:v>2.3999999999999995</c:v>
                </c:pt>
                <c:pt idx="149">
                  <c:v>2.4499999999999993</c:v>
                </c:pt>
                <c:pt idx="150">
                  <c:v>2.4999999999999991</c:v>
                </c:pt>
                <c:pt idx="151">
                  <c:v>2.5499999999999989</c:v>
                </c:pt>
                <c:pt idx="152">
                  <c:v>2.5999999999999988</c:v>
                </c:pt>
                <c:pt idx="153">
                  <c:v>2.6499999999999986</c:v>
                </c:pt>
                <c:pt idx="154">
                  <c:v>2.6999999999999984</c:v>
                </c:pt>
                <c:pt idx="155">
                  <c:v>2.7499999999999982</c:v>
                </c:pt>
                <c:pt idx="156">
                  <c:v>2.799999999999998</c:v>
                </c:pt>
                <c:pt idx="157">
                  <c:v>2.8499999999999979</c:v>
                </c:pt>
                <c:pt idx="158">
                  <c:v>2.8999999999999977</c:v>
                </c:pt>
                <c:pt idx="159">
                  <c:v>2.9499999999999975</c:v>
                </c:pt>
                <c:pt idx="160">
                  <c:v>2.9999999999999973</c:v>
                </c:pt>
                <c:pt idx="161">
                  <c:v>3.0499999999999972</c:v>
                </c:pt>
                <c:pt idx="162">
                  <c:v>3.099999999999997</c:v>
                </c:pt>
                <c:pt idx="163">
                  <c:v>3.1499999999999968</c:v>
                </c:pt>
                <c:pt idx="164">
                  <c:v>3.1999999999999966</c:v>
                </c:pt>
                <c:pt idx="165">
                  <c:v>3.2499999999999964</c:v>
                </c:pt>
                <c:pt idx="166">
                  <c:v>3.2999999999999963</c:v>
                </c:pt>
                <c:pt idx="167">
                  <c:v>3.3499999999999961</c:v>
                </c:pt>
                <c:pt idx="168">
                  <c:v>3.3999999999999959</c:v>
                </c:pt>
                <c:pt idx="169">
                  <c:v>3.4499999999999957</c:v>
                </c:pt>
                <c:pt idx="170">
                  <c:v>3.4999999999999956</c:v>
                </c:pt>
                <c:pt idx="171">
                  <c:v>3.5499999999999954</c:v>
                </c:pt>
                <c:pt idx="172">
                  <c:v>3.5999999999999952</c:v>
                </c:pt>
                <c:pt idx="173">
                  <c:v>3.649999999999995</c:v>
                </c:pt>
                <c:pt idx="174">
                  <c:v>3.6999999999999948</c:v>
                </c:pt>
                <c:pt idx="175">
                  <c:v>3.7499999999999947</c:v>
                </c:pt>
                <c:pt idx="176">
                  <c:v>3.7999999999999945</c:v>
                </c:pt>
                <c:pt idx="177">
                  <c:v>3.8499999999999943</c:v>
                </c:pt>
                <c:pt idx="178">
                  <c:v>3.8999999999999941</c:v>
                </c:pt>
                <c:pt idx="179">
                  <c:v>3.949999999999994</c:v>
                </c:pt>
                <c:pt idx="180">
                  <c:v>3.9999999999999938</c:v>
                </c:pt>
                <c:pt idx="181">
                  <c:v>4.0499999999999936</c:v>
                </c:pt>
                <c:pt idx="182">
                  <c:v>4.0999999999999934</c:v>
                </c:pt>
                <c:pt idx="183">
                  <c:v>4.1499999999999932</c:v>
                </c:pt>
                <c:pt idx="184">
                  <c:v>4.1999999999999931</c:v>
                </c:pt>
                <c:pt idx="185">
                  <c:v>4.2499999999999929</c:v>
                </c:pt>
                <c:pt idx="186">
                  <c:v>4.2999999999999927</c:v>
                </c:pt>
                <c:pt idx="187">
                  <c:v>4.3499999999999925</c:v>
                </c:pt>
                <c:pt idx="188">
                  <c:v>4.3999999999999924</c:v>
                </c:pt>
                <c:pt idx="189">
                  <c:v>4.4499999999999922</c:v>
                </c:pt>
                <c:pt idx="190">
                  <c:v>4.499999999999992</c:v>
                </c:pt>
                <c:pt idx="191">
                  <c:v>4.5499999999999918</c:v>
                </c:pt>
                <c:pt idx="192">
                  <c:v>4.5999999999999917</c:v>
                </c:pt>
                <c:pt idx="193">
                  <c:v>4.6499999999999915</c:v>
                </c:pt>
                <c:pt idx="194">
                  <c:v>4.6999999999999913</c:v>
                </c:pt>
                <c:pt idx="195">
                  <c:v>4.7499999999999911</c:v>
                </c:pt>
                <c:pt idx="196">
                  <c:v>4.7999999999999909</c:v>
                </c:pt>
                <c:pt idx="197">
                  <c:v>4.8499999999999908</c:v>
                </c:pt>
                <c:pt idx="198">
                  <c:v>4.8999999999999906</c:v>
                </c:pt>
                <c:pt idx="199">
                  <c:v>4.9499999999999904</c:v>
                </c:pt>
                <c:pt idx="200">
                  <c:v>4.9999999999999902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5DF-41ED-A61A-3AD3063C65A3}"/>
            </c:ext>
          </c:extLst>
        </c:ser>
        <c:ser>
          <c:idx val="5"/>
          <c:order val="2"/>
          <c:tx>
            <c:v> 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soczewka!$O$4:$O$5</c:f>
              <c:numCache>
                <c:formatCode>General</c:formatCode>
                <c:ptCount val="2"/>
                <c:pt idx="0">
                  <c:v>9.5</c:v>
                </c:pt>
                <c:pt idx="1">
                  <c:v>10.5</c:v>
                </c:pt>
              </c:numCache>
            </c:numRef>
          </c:xVal>
          <c:yVal>
            <c:numRef>
              <c:f>soczewka!$P$4:$P$5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5DF-41ED-A61A-3AD3063C65A3}"/>
            </c:ext>
          </c:extLst>
        </c:ser>
        <c:ser>
          <c:idx val="6"/>
          <c:order val="3"/>
          <c:tx>
            <c:v>soczewka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soczewka!$O$6:$O$7</c:f>
              <c:numCache>
                <c:formatCode>General</c:formatCode>
                <c:ptCount val="2"/>
                <c:pt idx="0">
                  <c:v>9.5</c:v>
                </c:pt>
                <c:pt idx="1">
                  <c:v>10.5</c:v>
                </c:pt>
              </c:numCache>
            </c:numRef>
          </c:xVal>
          <c:yVal>
            <c:numRef>
              <c:f>soczewka!$P$6:$P$7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5DF-41ED-A61A-3AD3063C65A3}"/>
            </c:ext>
          </c:extLst>
        </c:ser>
        <c:ser>
          <c:idx val="1"/>
          <c:order val="4"/>
          <c:tx>
            <c:v> </c:v>
          </c:tx>
          <c:spPr>
            <a:ln w="19050" cap="rnd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soczewka!$O$8:$O$13</c:f>
              <c:numCache>
                <c:formatCode>General</c:formatCode>
                <c:ptCount val="6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soczewka!$P$8:$P$13</c:f>
              <c:numCache>
                <c:formatCode>General</c:formatCode>
                <c:ptCount val="6"/>
                <c:pt idx="0">
                  <c:v>1.9991197947003312</c:v>
                </c:pt>
                <c:pt idx="1">
                  <c:v>1.9991197867038519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DF-41ED-A61A-3AD3063C65A3}"/>
            </c:ext>
          </c:extLst>
        </c:ser>
        <c:ser>
          <c:idx val="4"/>
          <c:order val="5"/>
          <c:tx>
            <c:v>normalna 2</c:v>
          </c:tx>
          <c:spPr>
            <a:ln w="19050" cap="rnd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soczewka!$O$16:$O$22</c:f>
              <c:numCache>
                <c:formatCode>General</c:formatCode>
                <c:ptCount val="7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soczewka!$P$16:$P$22</c:f>
              <c:numCache>
                <c:formatCode>General</c:formatCode>
                <c:ptCount val="7"/>
                <c:pt idx="0">
                  <c:v>1.1225574543858479</c:v>
                </c:pt>
                <c:pt idx="1">
                  <c:v>2.7267956564514204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5DF-41ED-A61A-3AD3063C65A3}"/>
            </c:ext>
          </c:extLst>
        </c:ser>
        <c:ser>
          <c:idx val="2"/>
          <c:order val="6"/>
          <c:tx>
            <c:v>bieg promieni</c:v>
          </c:tx>
          <c:spPr>
            <a:ln w="25400" cap="rnd">
              <a:solidFill>
                <a:srgbClr val="FFFF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F5DF-41ED-A61A-3AD3063C65A3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F5DF-41ED-A61A-3AD3063C65A3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F5DF-41ED-A61A-3AD3063C65A3}"/>
              </c:ext>
            </c:extLst>
          </c:dPt>
          <c:xVal>
            <c:numRef>
              <c:f>soczewka!$Q$3:$Q$6</c:f>
              <c:numCache>
                <c:formatCode>General</c:formatCode>
                <c:ptCount val="4"/>
                <c:pt idx="0">
                  <c:v>0</c:v>
                </c:pt>
                <c:pt idx="1">
                  <c:v>9.4999999184454662</c:v>
                </c:pt>
                <c:pt idx="2">
                  <c:v>10.925064206387647</c:v>
                </c:pt>
                <c:pt idx="3">
                  <c:v>25</c:v>
                </c:pt>
              </c:numCache>
            </c:numRef>
          </c:xVal>
          <c:yVal>
            <c:numRef>
              <c:f>soczewka!$R$3:$R$6</c:f>
              <c:numCache>
                <c:formatCode>General</c:formatCode>
                <c:ptCount val="4"/>
                <c:pt idx="0">
                  <c:v>2</c:v>
                </c:pt>
                <c:pt idx="1">
                  <c:v>1.9991197909020035</c:v>
                </c:pt>
                <c:pt idx="2">
                  <c:v>1.9988777223811607</c:v>
                </c:pt>
                <c:pt idx="3">
                  <c:v>1.7687293613425501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5DF-41ED-A61A-3AD3063C6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49600"/>
        <c:axId val="61944192"/>
      </c:scatterChart>
      <c:valAx>
        <c:axId val="62249600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944192"/>
        <c:crosses val="autoZero"/>
        <c:crossBetween val="midCat"/>
        <c:majorUnit val="1"/>
      </c:valAx>
      <c:valAx>
        <c:axId val="61944192"/>
        <c:scaling>
          <c:orientation val="minMax"/>
          <c:max val="6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224960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618731869042687E-2"/>
          <c:y val="5.7517176161803303E-2"/>
          <c:w val="0.82295351475233258"/>
          <c:h val="0.8763591891439102"/>
        </c:manualLayout>
      </c:layout>
      <c:scatterChart>
        <c:scatterStyle val="lineMarker"/>
        <c:varyColors val="0"/>
        <c:ser>
          <c:idx val="0"/>
          <c:order val="0"/>
          <c:tx>
            <c:v>powierzchnia</c:v>
          </c:tx>
          <c:spPr>
            <a:ln w="381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soczewka!$L$6:$L$206</c:f>
              <c:numCache>
                <c:formatCode>General</c:formatCode>
                <c:ptCount val="201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9.5</c:v>
                </c:pt>
                <c:pt idx="55">
                  <c:v>9.5</c:v>
                </c:pt>
                <c:pt idx="56">
                  <c:v>9.5</c:v>
                </c:pt>
                <c:pt idx="57">
                  <c:v>9.5</c:v>
                </c:pt>
                <c:pt idx="58">
                  <c:v>9.5</c:v>
                </c:pt>
                <c:pt idx="59">
                  <c:v>9.5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9.5</c:v>
                </c:pt>
                <c:pt idx="83">
                  <c:v>9.5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9.5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9.5</c:v>
                </c:pt>
                <c:pt idx="100">
                  <c:v>9.5</c:v>
                </c:pt>
                <c:pt idx="101">
                  <c:v>9.5</c:v>
                </c:pt>
                <c:pt idx="102">
                  <c:v>9.5</c:v>
                </c:pt>
                <c:pt idx="103">
                  <c:v>9.5</c:v>
                </c:pt>
                <c:pt idx="104">
                  <c:v>9.5</c:v>
                </c:pt>
                <c:pt idx="105">
                  <c:v>9.5</c:v>
                </c:pt>
                <c:pt idx="106">
                  <c:v>9.5</c:v>
                </c:pt>
                <c:pt idx="107">
                  <c:v>9.5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9.5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9.5</c:v>
                </c:pt>
                <c:pt idx="134">
                  <c:v>9.5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9.5</c:v>
                </c:pt>
                <c:pt idx="146">
                  <c:v>9.5</c:v>
                </c:pt>
                <c:pt idx="147">
                  <c:v>9.5</c:v>
                </c:pt>
                <c:pt idx="148">
                  <c:v>9.5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9.5</c:v>
                </c:pt>
                <c:pt idx="161">
                  <c:v>9.5</c:v>
                </c:pt>
                <c:pt idx="162">
                  <c:v>9.5</c:v>
                </c:pt>
                <c:pt idx="163">
                  <c:v>9.5</c:v>
                </c:pt>
                <c:pt idx="164">
                  <c:v>9.5</c:v>
                </c:pt>
                <c:pt idx="165">
                  <c:v>9.5</c:v>
                </c:pt>
                <c:pt idx="166">
                  <c:v>9.5</c:v>
                </c:pt>
                <c:pt idx="167">
                  <c:v>9.5</c:v>
                </c:pt>
                <c:pt idx="168">
                  <c:v>9.5</c:v>
                </c:pt>
                <c:pt idx="169">
                  <c:v>9.5</c:v>
                </c:pt>
                <c:pt idx="170">
                  <c:v>9.5</c:v>
                </c:pt>
                <c:pt idx="171">
                  <c:v>9.5</c:v>
                </c:pt>
                <c:pt idx="172">
                  <c:v>9.5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9.5</c:v>
                </c:pt>
                <c:pt idx="178">
                  <c:v>9.5</c:v>
                </c:pt>
                <c:pt idx="179">
                  <c:v>9.5</c:v>
                </c:pt>
                <c:pt idx="180">
                  <c:v>9.5</c:v>
                </c:pt>
                <c:pt idx="181">
                  <c:v>9.5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</c:numCache>
            </c:numRef>
          </c:xVal>
          <c:yVal>
            <c:numRef>
              <c:f>soczewka!$M$6:$M$206</c:f>
              <c:numCache>
                <c:formatCode>General</c:formatCode>
                <c:ptCount val="201"/>
                <c:pt idx="0">
                  <c:v>-4.9999999999999902</c:v>
                </c:pt>
                <c:pt idx="1">
                  <c:v>-4.9499999999999904</c:v>
                </c:pt>
                <c:pt idx="2">
                  <c:v>-4.8999999999999906</c:v>
                </c:pt>
                <c:pt idx="3">
                  <c:v>-4.8499999999999908</c:v>
                </c:pt>
                <c:pt idx="4">
                  <c:v>-4.7999999999999909</c:v>
                </c:pt>
                <c:pt idx="5">
                  <c:v>-4.7499999999999911</c:v>
                </c:pt>
                <c:pt idx="6">
                  <c:v>-4.6999999999999913</c:v>
                </c:pt>
                <c:pt idx="7">
                  <c:v>-4.6499999999999915</c:v>
                </c:pt>
                <c:pt idx="8">
                  <c:v>-4.5999999999999917</c:v>
                </c:pt>
                <c:pt idx="9">
                  <c:v>-4.5499999999999918</c:v>
                </c:pt>
                <c:pt idx="10">
                  <c:v>-4.499999999999992</c:v>
                </c:pt>
                <c:pt idx="11">
                  <c:v>-4.4499999999999922</c:v>
                </c:pt>
                <c:pt idx="12">
                  <c:v>-4.3999999999999924</c:v>
                </c:pt>
                <c:pt idx="13">
                  <c:v>-4.3499999999999925</c:v>
                </c:pt>
                <c:pt idx="14">
                  <c:v>-4.2999999999999927</c:v>
                </c:pt>
                <c:pt idx="15">
                  <c:v>-4.2499999999999929</c:v>
                </c:pt>
                <c:pt idx="16">
                  <c:v>-4.1999999999999931</c:v>
                </c:pt>
                <c:pt idx="17">
                  <c:v>-4.1499999999999932</c:v>
                </c:pt>
                <c:pt idx="18">
                  <c:v>-4.0999999999999934</c:v>
                </c:pt>
                <c:pt idx="19">
                  <c:v>-4.0499999999999936</c:v>
                </c:pt>
                <c:pt idx="20">
                  <c:v>-3.9999999999999938</c:v>
                </c:pt>
                <c:pt idx="21">
                  <c:v>-3.949999999999994</c:v>
                </c:pt>
                <c:pt idx="22">
                  <c:v>-3.8999999999999941</c:v>
                </c:pt>
                <c:pt idx="23">
                  <c:v>-3.8499999999999943</c:v>
                </c:pt>
                <c:pt idx="24">
                  <c:v>-3.7999999999999945</c:v>
                </c:pt>
                <c:pt idx="25">
                  <c:v>-3.7499999999999947</c:v>
                </c:pt>
                <c:pt idx="26">
                  <c:v>-3.6999999999999948</c:v>
                </c:pt>
                <c:pt idx="27">
                  <c:v>-3.649999999999995</c:v>
                </c:pt>
                <c:pt idx="28">
                  <c:v>-3.5999999999999952</c:v>
                </c:pt>
                <c:pt idx="29">
                  <c:v>-3.5499999999999954</c:v>
                </c:pt>
                <c:pt idx="30">
                  <c:v>-3.4999999999999956</c:v>
                </c:pt>
                <c:pt idx="31">
                  <c:v>-3.4499999999999957</c:v>
                </c:pt>
                <c:pt idx="32">
                  <c:v>-3.3999999999999959</c:v>
                </c:pt>
                <c:pt idx="33">
                  <c:v>-3.3499999999999961</c:v>
                </c:pt>
                <c:pt idx="34">
                  <c:v>-3.2999999999999963</c:v>
                </c:pt>
                <c:pt idx="35">
                  <c:v>-3.2499999999999964</c:v>
                </c:pt>
                <c:pt idx="36">
                  <c:v>-3.1999999999999966</c:v>
                </c:pt>
                <c:pt idx="37">
                  <c:v>-3.1499999999999968</c:v>
                </c:pt>
                <c:pt idx="38">
                  <c:v>-3.099999999999997</c:v>
                </c:pt>
                <c:pt idx="39">
                  <c:v>-3.0499999999999972</c:v>
                </c:pt>
                <c:pt idx="40">
                  <c:v>-2.9999999999999973</c:v>
                </c:pt>
                <c:pt idx="41">
                  <c:v>-2.9499999999999975</c:v>
                </c:pt>
                <c:pt idx="42">
                  <c:v>-2.8999999999999977</c:v>
                </c:pt>
                <c:pt idx="43">
                  <c:v>-2.8499999999999979</c:v>
                </c:pt>
                <c:pt idx="44">
                  <c:v>-2.799999999999998</c:v>
                </c:pt>
                <c:pt idx="45">
                  <c:v>-2.7499999999999982</c:v>
                </c:pt>
                <c:pt idx="46">
                  <c:v>-2.6999999999999984</c:v>
                </c:pt>
                <c:pt idx="47">
                  <c:v>-2.6499999999999986</c:v>
                </c:pt>
                <c:pt idx="48">
                  <c:v>-2.5999999999999988</c:v>
                </c:pt>
                <c:pt idx="49">
                  <c:v>-2.5499999999999989</c:v>
                </c:pt>
                <c:pt idx="50">
                  <c:v>-2.4999999999999991</c:v>
                </c:pt>
                <c:pt idx="51">
                  <c:v>-2.4499999999999993</c:v>
                </c:pt>
                <c:pt idx="52">
                  <c:v>-2.3999999999999995</c:v>
                </c:pt>
                <c:pt idx="53">
                  <c:v>-2.3499999999999996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-2.1500000000000004</c:v>
                </c:pt>
                <c:pt idx="58">
                  <c:v>-2.1000000000000005</c:v>
                </c:pt>
                <c:pt idx="59">
                  <c:v>-2.0500000000000007</c:v>
                </c:pt>
                <c:pt idx="60">
                  <c:v>-2.0000000000000009</c:v>
                </c:pt>
                <c:pt idx="61">
                  <c:v>-1.9500000000000011</c:v>
                </c:pt>
                <c:pt idx="62">
                  <c:v>-1.900000000000001</c:v>
                </c:pt>
                <c:pt idx="63">
                  <c:v>-1.850000000000001</c:v>
                </c:pt>
                <c:pt idx="64">
                  <c:v>-1.8000000000000009</c:v>
                </c:pt>
                <c:pt idx="65">
                  <c:v>-1.7500000000000009</c:v>
                </c:pt>
                <c:pt idx="66">
                  <c:v>-1.7000000000000008</c:v>
                </c:pt>
                <c:pt idx="67">
                  <c:v>-1.6500000000000008</c:v>
                </c:pt>
                <c:pt idx="68">
                  <c:v>-1.6000000000000008</c:v>
                </c:pt>
                <c:pt idx="69">
                  <c:v>-1.5500000000000007</c:v>
                </c:pt>
                <c:pt idx="70">
                  <c:v>-1.5000000000000007</c:v>
                </c:pt>
                <c:pt idx="71">
                  <c:v>-1.4500000000000006</c:v>
                </c:pt>
                <c:pt idx="72">
                  <c:v>-1.4000000000000006</c:v>
                </c:pt>
                <c:pt idx="73">
                  <c:v>-1.3500000000000005</c:v>
                </c:pt>
                <c:pt idx="74">
                  <c:v>-1.3000000000000005</c:v>
                </c:pt>
                <c:pt idx="75">
                  <c:v>-1.2500000000000004</c:v>
                </c:pt>
                <c:pt idx="76">
                  <c:v>-1.2000000000000004</c:v>
                </c:pt>
                <c:pt idx="77">
                  <c:v>-1.1500000000000004</c:v>
                </c:pt>
                <c:pt idx="78">
                  <c:v>-1.1000000000000003</c:v>
                </c:pt>
                <c:pt idx="79">
                  <c:v>-1.0500000000000003</c:v>
                </c:pt>
                <c:pt idx="80">
                  <c:v>-1.0000000000000002</c:v>
                </c:pt>
                <c:pt idx="81">
                  <c:v>-0.95000000000000029</c:v>
                </c:pt>
                <c:pt idx="82">
                  <c:v>-0.90000000000000024</c:v>
                </c:pt>
                <c:pt idx="83">
                  <c:v>-0.8500000000000002</c:v>
                </c:pt>
                <c:pt idx="84">
                  <c:v>-0.80000000000000016</c:v>
                </c:pt>
                <c:pt idx="85">
                  <c:v>-0.75000000000000011</c:v>
                </c:pt>
                <c:pt idx="86">
                  <c:v>-0.70000000000000007</c:v>
                </c:pt>
                <c:pt idx="87">
                  <c:v>-0.65</c:v>
                </c:pt>
                <c:pt idx="88">
                  <c:v>-0.6</c:v>
                </c:pt>
                <c:pt idx="89">
                  <c:v>-0.54999999999999993</c:v>
                </c:pt>
                <c:pt idx="90">
                  <c:v>-0.49999999999999994</c:v>
                </c:pt>
                <c:pt idx="91">
                  <c:v>-0.44999999999999996</c:v>
                </c:pt>
                <c:pt idx="92">
                  <c:v>-0.39999999999999997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-0.15000000000000002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0.15000000000000002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0.39999999999999997</c:v>
                </c:pt>
                <c:pt idx="109">
                  <c:v>0.44999999999999996</c:v>
                </c:pt>
                <c:pt idx="110">
                  <c:v>0.49999999999999994</c:v>
                </c:pt>
                <c:pt idx="111">
                  <c:v>0.54999999999999993</c:v>
                </c:pt>
                <c:pt idx="112">
                  <c:v>0.6</c:v>
                </c:pt>
                <c:pt idx="113">
                  <c:v>0.65</c:v>
                </c:pt>
                <c:pt idx="114">
                  <c:v>0.70000000000000007</c:v>
                </c:pt>
                <c:pt idx="115">
                  <c:v>0.75000000000000011</c:v>
                </c:pt>
                <c:pt idx="116">
                  <c:v>0.80000000000000016</c:v>
                </c:pt>
                <c:pt idx="117">
                  <c:v>0.8500000000000002</c:v>
                </c:pt>
                <c:pt idx="118">
                  <c:v>0.90000000000000024</c:v>
                </c:pt>
                <c:pt idx="119">
                  <c:v>0.95000000000000029</c:v>
                </c:pt>
                <c:pt idx="120">
                  <c:v>1.0000000000000002</c:v>
                </c:pt>
                <c:pt idx="121">
                  <c:v>1.0500000000000003</c:v>
                </c:pt>
                <c:pt idx="122">
                  <c:v>1.1000000000000003</c:v>
                </c:pt>
                <c:pt idx="123">
                  <c:v>1.1500000000000004</c:v>
                </c:pt>
                <c:pt idx="124">
                  <c:v>1.2000000000000004</c:v>
                </c:pt>
                <c:pt idx="125">
                  <c:v>1.2500000000000004</c:v>
                </c:pt>
                <c:pt idx="126">
                  <c:v>1.3000000000000005</c:v>
                </c:pt>
                <c:pt idx="127">
                  <c:v>1.3500000000000005</c:v>
                </c:pt>
                <c:pt idx="128">
                  <c:v>1.4000000000000006</c:v>
                </c:pt>
                <c:pt idx="129">
                  <c:v>1.4500000000000006</c:v>
                </c:pt>
                <c:pt idx="130">
                  <c:v>1.5000000000000007</c:v>
                </c:pt>
                <c:pt idx="131">
                  <c:v>1.5500000000000007</c:v>
                </c:pt>
                <c:pt idx="132">
                  <c:v>1.6000000000000008</c:v>
                </c:pt>
                <c:pt idx="133">
                  <c:v>1.6500000000000008</c:v>
                </c:pt>
                <c:pt idx="134">
                  <c:v>1.7000000000000008</c:v>
                </c:pt>
                <c:pt idx="135">
                  <c:v>1.7500000000000009</c:v>
                </c:pt>
                <c:pt idx="136">
                  <c:v>1.8000000000000009</c:v>
                </c:pt>
                <c:pt idx="137">
                  <c:v>1.850000000000001</c:v>
                </c:pt>
                <c:pt idx="138">
                  <c:v>1.900000000000001</c:v>
                </c:pt>
                <c:pt idx="139">
                  <c:v>1.9500000000000011</c:v>
                </c:pt>
                <c:pt idx="140">
                  <c:v>2.0000000000000009</c:v>
                </c:pt>
                <c:pt idx="141">
                  <c:v>2.0500000000000007</c:v>
                </c:pt>
                <c:pt idx="142">
                  <c:v>2.1000000000000005</c:v>
                </c:pt>
                <c:pt idx="143">
                  <c:v>2.1500000000000004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2.3499999999999996</c:v>
                </c:pt>
                <c:pt idx="148">
                  <c:v>2.3999999999999995</c:v>
                </c:pt>
                <c:pt idx="149">
                  <c:v>2.4499999999999993</c:v>
                </c:pt>
                <c:pt idx="150">
                  <c:v>2.4999999999999991</c:v>
                </c:pt>
                <c:pt idx="151">
                  <c:v>2.5499999999999989</c:v>
                </c:pt>
                <c:pt idx="152">
                  <c:v>2.5999999999999988</c:v>
                </c:pt>
                <c:pt idx="153">
                  <c:v>2.6499999999999986</c:v>
                </c:pt>
                <c:pt idx="154">
                  <c:v>2.6999999999999984</c:v>
                </c:pt>
                <c:pt idx="155">
                  <c:v>2.7499999999999982</c:v>
                </c:pt>
                <c:pt idx="156">
                  <c:v>2.799999999999998</c:v>
                </c:pt>
                <c:pt idx="157">
                  <c:v>2.8499999999999979</c:v>
                </c:pt>
                <c:pt idx="158">
                  <c:v>2.8999999999999977</c:v>
                </c:pt>
                <c:pt idx="159">
                  <c:v>2.9499999999999975</c:v>
                </c:pt>
                <c:pt idx="160">
                  <c:v>2.9999999999999973</c:v>
                </c:pt>
                <c:pt idx="161">
                  <c:v>3.0499999999999972</c:v>
                </c:pt>
                <c:pt idx="162">
                  <c:v>3.099999999999997</c:v>
                </c:pt>
                <c:pt idx="163">
                  <c:v>3.1499999999999968</c:v>
                </c:pt>
                <c:pt idx="164">
                  <c:v>3.1999999999999966</c:v>
                </c:pt>
                <c:pt idx="165">
                  <c:v>3.2499999999999964</c:v>
                </c:pt>
                <c:pt idx="166">
                  <c:v>3.2999999999999963</c:v>
                </c:pt>
                <c:pt idx="167">
                  <c:v>3.3499999999999961</c:v>
                </c:pt>
                <c:pt idx="168">
                  <c:v>3.3999999999999959</c:v>
                </c:pt>
                <c:pt idx="169">
                  <c:v>3.4499999999999957</c:v>
                </c:pt>
                <c:pt idx="170">
                  <c:v>3.4999999999999956</c:v>
                </c:pt>
                <c:pt idx="171">
                  <c:v>3.5499999999999954</c:v>
                </c:pt>
                <c:pt idx="172">
                  <c:v>3.5999999999999952</c:v>
                </c:pt>
                <c:pt idx="173">
                  <c:v>3.649999999999995</c:v>
                </c:pt>
                <c:pt idx="174">
                  <c:v>3.6999999999999948</c:v>
                </c:pt>
                <c:pt idx="175">
                  <c:v>3.7499999999999947</c:v>
                </c:pt>
                <c:pt idx="176">
                  <c:v>3.7999999999999945</c:v>
                </c:pt>
                <c:pt idx="177">
                  <c:v>3.8499999999999943</c:v>
                </c:pt>
                <c:pt idx="178">
                  <c:v>3.8999999999999941</c:v>
                </c:pt>
                <c:pt idx="179">
                  <c:v>3.949999999999994</c:v>
                </c:pt>
                <c:pt idx="180">
                  <c:v>3.9999999999999938</c:v>
                </c:pt>
                <c:pt idx="181">
                  <c:v>4.0499999999999936</c:v>
                </c:pt>
                <c:pt idx="182">
                  <c:v>4.0999999999999934</c:v>
                </c:pt>
                <c:pt idx="183">
                  <c:v>4.1499999999999932</c:v>
                </c:pt>
                <c:pt idx="184">
                  <c:v>4.1999999999999931</c:v>
                </c:pt>
                <c:pt idx="185">
                  <c:v>4.2499999999999929</c:v>
                </c:pt>
                <c:pt idx="186">
                  <c:v>4.2999999999999927</c:v>
                </c:pt>
                <c:pt idx="187">
                  <c:v>4.3499999999999925</c:v>
                </c:pt>
                <c:pt idx="188">
                  <c:v>4.3999999999999924</c:v>
                </c:pt>
                <c:pt idx="189">
                  <c:v>4.4499999999999922</c:v>
                </c:pt>
                <c:pt idx="190">
                  <c:v>4.499999999999992</c:v>
                </c:pt>
                <c:pt idx="191">
                  <c:v>4.5499999999999918</c:v>
                </c:pt>
                <c:pt idx="192">
                  <c:v>4.5999999999999917</c:v>
                </c:pt>
                <c:pt idx="193">
                  <c:v>4.6499999999999915</c:v>
                </c:pt>
                <c:pt idx="194">
                  <c:v>4.6999999999999913</c:v>
                </c:pt>
                <c:pt idx="195">
                  <c:v>4.7499999999999911</c:v>
                </c:pt>
                <c:pt idx="196">
                  <c:v>4.7999999999999909</c:v>
                </c:pt>
                <c:pt idx="197">
                  <c:v>4.8499999999999908</c:v>
                </c:pt>
                <c:pt idx="198">
                  <c:v>4.8999999999999906</c:v>
                </c:pt>
                <c:pt idx="199">
                  <c:v>4.9499999999999904</c:v>
                </c:pt>
                <c:pt idx="200">
                  <c:v>4.9999999999999902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5-4B70-AC1A-DFA9AA97F59A}"/>
            </c:ext>
          </c:extLst>
        </c:ser>
        <c:ser>
          <c:idx val="1"/>
          <c:order val="1"/>
          <c:tx>
            <c:v>normalna</c:v>
          </c:tx>
          <c:spPr>
            <a:ln w="25400">
              <a:solidFill>
                <a:schemeClr val="accent1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soczewka!$O$8:$O$13</c:f>
              <c:numCache>
                <c:formatCode>General</c:formatCode>
                <c:ptCount val="6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soczewka!$P$8:$P$13</c:f>
              <c:numCache>
                <c:formatCode>General</c:formatCode>
                <c:ptCount val="6"/>
                <c:pt idx="0">
                  <c:v>1.9991197947003312</c:v>
                </c:pt>
                <c:pt idx="1">
                  <c:v>1.9991197867038519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5-4B70-AC1A-DFA9AA97F59A}"/>
            </c:ext>
          </c:extLst>
        </c:ser>
        <c:ser>
          <c:idx val="2"/>
          <c:order val="2"/>
          <c:tx>
            <c:v>bieg promieni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57B5-4B70-AC1A-DFA9AA97F59A}"/>
              </c:ext>
            </c:extLst>
          </c:dPt>
          <c:dPt>
            <c:idx val="2"/>
            <c:bubble3D val="0"/>
            <c:spPr>
              <a:ln w="2540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57B5-4B70-AC1A-DFA9AA97F59A}"/>
              </c:ext>
            </c:extLst>
          </c:dPt>
          <c:dPt>
            <c:idx val="3"/>
            <c:bubble3D val="0"/>
            <c:spPr>
              <a:ln w="2540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57B5-4B70-AC1A-DFA9AA97F59A}"/>
              </c:ext>
            </c:extLst>
          </c:dPt>
          <c:xVal>
            <c:numRef>
              <c:f>soczewka!$Q$3:$Q$6</c:f>
              <c:numCache>
                <c:formatCode>General</c:formatCode>
                <c:ptCount val="4"/>
                <c:pt idx="0">
                  <c:v>0</c:v>
                </c:pt>
                <c:pt idx="1">
                  <c:v>9.4999999184454662</c:v>
                </c:pt>
                <c:pt idx="2">
                  <c:v>10.925064206387647</c:v>
                </c:pt>
                <c:pt idx="3">
                  <c:v>25</c:v>
                </c:pt>
              </c:numCache>
            </c:numRef>
          </c:xVal>
          <c:yVal>
            <c:numRef>
              <c:f>soczewka!$R$3:$R$6</c:f>
              <c:numCache>
                <c:formatCode>General</c:formatCode>
                <c:ptCount val="4"/>
                <c:pt idx="0">
                  <c:v>2</c:v>
                </c:pt>
                <c:pt idx="1">
                  <c:v>1.9991197909020035</c:v>
                </c:pt>
                <c:pt idx="2">
                  <c:v>1.9988777223811607</c:v>
                </c:pt>
                <c:pt idx="3">
                  <c:v>1.7687293613425501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5-4B70-AC1A-DFA9AA97F59A}"/>
            </c:ext>
          </c:extLst>
        </c:ser>
        <c:ser>
          <c:idx val="3"/>
          <c:order val="3"/>
          <c:tx>
            <c:v>powierzchnia 2</c:v>
          </c:tx>
          <c:spPr>
            <a:ln w="38100">
              <a:solidFill>
                <a:srgbClr val="4F81BD"/>
              </a:solidFill>
            </a:ln>
          </c:spPr>
          <c:marker>
            <c:symbol val="none"/>
          </c:marker>
          <c:xVal>
            <c:numRef>
              <c:f>soczewka!$T$6:$T$206</c:f>
              <c:numCache>
                <c:formatCode>General</c:formatCode>
                <c:ptCount val="201"/>
                <c:pt idx="0">
                  <c:v>10.500000000000004</c:v>
                </c:pt>
                <c:pt idx="1">
                  <c:v>10.510153072014166</c:v>
                </c:pt>
                <c:pt idx="2">
                  <c:v>10.520199961328235</c:v>
                </c:pt>
                <c:pt idx="3">
                  <c:v>10.530140798438126</c:v>
                </c:pt>
                <c:pt idx="4">
                  <c:v>10.539975712251909</c:v>
                </c:pt>
                <c:pt idx="5">
                  <c:v>10.54970483009858</c:v>
                </c:pt>
                <c:pt idx="6">
                  <c:v>10.559328277736704</c:v>
                </c:pt>
                <c:pt idx="7">
                  <c:v>10.56884617936295</c:v>
                </c:pt>
                <c:pt idx="8">
                  <c:v>10.578258657620491</c:v>
                </c:pt>
                <c:pt idx="9">
                  <c:v>10.587565833607261</c:v>
                </c:pt>
                <c:pt idx="10">
                  <c:v>10.596767826884097</c:v>
                </c:pt>
                <c:pt idx="11">
                  <c:v>10.605864755482788</c:v>
                </c:pt>
                <c:pt idx="12">
                  <c:v>10.614856735913946</c:v>
                </c:pt>
                <c:pt idx="13">
                  <c:v>10.623743883174807</c:v>
                </c:pt>
                <c:pt idx="14">
                  <c:v>10.632526310756877</c:v>
                </c:pt>
                <c:pt idx="15">
                  <c:v>10.641204130653485</c:v>
                </c:pt>
                <c:pt idx="16">
                  <c:v>10.6497774533672</c:v>
                </c:pt>
                <c:pt idx="17">
                  <c:v>10.658246387917156</c:v>
                </c:pt>
                <c:pt idx="18">
                  <c:v>10.666611041846227</c:v>
                </c:pt>
                <c:pt idx="19">
                  <c:v>10.67487152122812</c:v>
                </c:pt>
                <c:pt idx="20">
                  <c:v>10.683027930674353</c:v>
                </c:pt>
                <c:pt idx="21">
                  <c:v>10.691080373341094</c:v>
                </c:pt>
                <c:pt idx="22">
                  <c:v>10.699028950935936</c:v>
                </c:pt>
                <c:pt idx="23">
                  <c:v>10.706873763724506</c:v>
                </c:pt>
                <c:pt idx="24">
                  <c:v>10.714614910537023</c:v>
                </c:pt>
                <c:pt idx="25">
                  <c:v>10.722252488774703</c:v>
                </c:pt>
                <c:pt idx="26">
                  <c:v>10.729786594416108</c:v>
                </c:pt>
                <c:pt idx="27">
                  <c:v>10.737217322023316</c:v>
                </c:pt>
                <c:pt idx="28">
                  <c:v>10.744544764748071</c:v>
                </c:pt>
                <c:pt idx="29">
                  <c:v>10.751769014337761</c:v>
                </c:pt>
                <c:pt idx="30">
                  <c:v>10.758890161141345</c:v>
                </c:pt>
                <c:pt idx="31">
                  <c:v>10.765908294115153</c:v>
                </c:pt>
                <c:pt idx="32">
                  <c:v>10.772823500828572</c:v>
                </c:pt>
                <c:pt idx="33">
                  <c:v>10.779635867469668</c:v>
                </c:pt>
                <c:pt idx="34">
                  <c:v>10.786345478850684</c:v>
                </c:pt>
                <c:pt idx="35">
                  <c:v>10.792952418413456</c:v>
                </c:pt>
                <c:pt idx="36">
                  <c:v>10.799456768234709</c:v>
                </c:pt>
                <c:pt idx="37">
                  <c:v>10.80585860903129</c:v>
                </c:pt>
                <c:pt idx="38">
                  <c:v>10.812158020165267</c:v>
                </c:pt>
                <c:pt idx="39">
                  <c:v>10.818355079648974</c:v>
                </c:pt>
                <c:pt idx="40">
                  <c:v>10.824449864149933</c:v>
                </c:pt>
                <c:pt idx="41">
                  <c:v>10.830442448995687</c:v>
                </c:pt>
                <c:pt idx="42">
                  <c:v>10.836332908178555</c:v>
                </c:pt>
                <c:pt idx="43">
                  <c:v>10.842121314360288</c:v>
                </c:pt>
                <c:pt idx="44">
                  <c:v>10.847807738876615</c:v>
                </c:pt>
                <c:pt idx="45">
                  <c:v>10.853392251741742</c:v>
                </c:pt>
                <c:pt idx="46">
                  <c:v>10.858874921652713</c:v>
                </c:pt>
                <c:pt idx="47">
                  <c:v>10.864255815993722</c:v>
                </c:pt>
                <c:pt idx="48">
                  <c:v>10.869535000840305</c:v>
                </c:pt>
                <c:pt idx="49">
                  <c:v>10.874712540963468</c:v>
                </c:pt>
                <c:pt idx="50">
                  <c:v>10.879788499833719</c:v>
                </c:pt>
                <c:pt idx="51">
                  <c:v>10.884762939625009</c:v>
                </c:pt>
                <c:pt idx="52">
                  <c:v>10.889635921218588</c:v>
                </c:pt>
                <c:pt idx="53">
                  <c:v>10.8944075042068</c:v>
                </c:pt>
                <c:pt idx="54">
                  <c:v>10.899077746896744</c:v>
                </c:pt>
                <c:pt idx="55">
                  <c:v>10.903646706313893</c:v>
                </c:pt>
                <c:pt idx="56">
                  <c:v>10.908114438205629</c:v>
                </c:pt>
                <c:pt idx="57">
                  <c:v>10.912480997044653</c:v>
                </c:pt>
                <c:pt idx="58">
                  <c:v>10.916746436032362</c:v>
                </c:pt>
                <c:pt idx="59">
                  <c:v>10.920910807102121</c:v>
                </c:pt>
                <c:pt idx="60">
                  <c:v>10.924974160922442</c:v>
                </c:pt>
                <c:pt idx="61">
                  <c:v>10.928936546900115</c:v>
                </c:pt>
                <c:pt idx="62">
                  <c:v>10.93279801318322</c:v>
                </c:pt>
                <c:pt idx="63">
                  <c:v>10.936558606664079</c:v>
                </c:pt>
                <c:pt idx="64">
                  <c:v>10.940218372982137</c:v>
                </c:pt>
                <c:pt idx="65">
                  <c:v>10.943777356526748</c:v>
                </c:pt>
                <c:pt idx="66">
                  <c:v>10.947235600439878</c:v>
                </c:pt>
                <c:pt idx="67">
                  <c:v>10.950593146618747</c:v>
                </c:pt>
                <c:pt idx="68">
                  <c:v>10.953850035718368</c:v>
                </c:pt>
                <c:pt idx="69">
                  <c:v>10.957006307154053</c:v>
                </c:pt>
                <c:pt idx="70">
                  <c:v>10.960061999103779</c:v>
                </c:pt>
                <c:pt idx="71">
                  <c:v>10.963017148510531</c:v>
                </c:pt>
                <c:pt idx="72">
                  <c:v>10.965871791084531</c:v>
                </c:pt>
                <c:pt idx="73">
                  <c:v>10.96862596130542</c:v>
                </c:pt>
                <c:pt idx="74">
                  <c:v>10.971279692424336</c:v>
                </c:pt>
                <c:pt idx="75">
                  <c:v>10.973833016465942</c:v>
                </c:pt>
                <c:pt idx="76">
                  <c:v>10.976285964230357</c:v>
                </c:pt>
                <c:pt idx="77">
                  <c:v>10.978638565295025</c:v>
                </c:pt>
                <c:pt idx="78">
                  <c:v>10.98089084801649</c:v>
                </c:pt>
                <c:pt idx="79">
                  <c:v>10.983042839532139</c:v>
                </c:pt>
                <c:pt idx="80">
                  <c:v>10.985094565761813</c:v>
                </c:pt>
                <c:pt idx="81">
                  <c:v>10.987046051409379</c:v>
                </c:pt>
                <c:pt idx="82">
                  <c:v>10.988897319964241</c:v>
                </c:pt>
                <c:pt idx="83">
                  <c:v>10.990648393702717</c:v>
                </c:pt>
                <c:pt idx="84">
                  <c:v>10.992299293689424</c:v>
                </c:pt>
                <c:pt idx="85">
                  <c:v>10.993850039778515</c:v>
                </c:pt>
                <c:pt idx="86">
                  <c:v>10.995300650614897</c:v>
                </c:pt>
                <c:pt idx="87">
                  <c:v>10.996651143635333</c:v>
                </c:pt>
                <c:pt idx="88">
                  <c:v>10.997901535069513</c:v>
                </c:pt>
                <c:pt idx="89">
                  <c:v>10.999051839941011</c:v>
                </c:pt>
                <c:pt idx="90">
                  <c:v>11.000102072068195</c:v>
                </c:pt>
                <c:pt idx="91">
                  <c:v>11.001052244065065</c:v>
                </c:pt>
                <c:pt idx="92">
                  <c:v>11.001902367342002</c:v>
                </c:pt>
                <c:pt idx="93">
                  <c:v>11.002652452106453</c:v>
                </c:pt>
                <c:pt idx="94">
                  <c:v>11.003302507363554</c:v>
                </c:pt>
                <c:pt idx="95">
                  <c:v>11.003852540916657</c:v>
                </c:pt>
                <c:pt idx="96">
                  <c:v>11.004302559367812</c:v>
                </c:pt>
                <c:pt idx="97">
                  <c:v>11.004652568118146</c:v>
                </c:pt>
                <c:pt idx="98">
                  <c:v>11.004902571368213</c:v>
                </c:pt>
                <c:pt idx="99">
                  <c:v>11.005052572118217</c:v>
                </c:pt>
                <c:pt idx="100">
                  <c:v>11.005102572168219</c:v>
                </c:pt>
                <c:pt idx="101">
                  <c:v>11.005052572118217</c:v>
                </c:pt>
                <c:pt idx="102">
                  <c:v>11.004902571368213</c:v>
                </c:pt>
                <c:pt idx="103">
                  <c:v>11.004652568118146</c:v>
                </c:pt>
                <c:pt idx="104">
                  <c:v>11.004302559367812</c:v>
                </c:pt>
                <c:pt idx="105">
                  <c:v>11.003852540916657</c:v>
                </c:pt>
                <c:pt idx="106">
                  <c:v>11.003302507363554</c:v>
                </c:pt>
                <c:pt idx="107">
                  <c:v>11.002652452106453</c:v>
                </c:pt>
                <c:pt idx="108">
                  <c:v>11.001902367342002</c:v>
                </c:pt>
                <c:pt idx="109">
                  <c:v>11.001052244065065</c:v>
                </c:pt>
                <c:pt idx="110">
                  <c:v>11.000102072068195</c:v>
                </c:pt>
                <c:pt idx="111">
                  <c:v>10.999051839941011</c:v>
                </c:pt>
                <c:pt idx="112">
                  <c:v>10.997901535069513</c:v>
                </c:pt>
                <c:pt idx="113">
                  <c:v>10.996651143635333</c:v>
                </c:pt>
                <c:pt idx="114">
                  <c:v>10.995300650614897</c:v>
                </c:pt>
                <c:pt idx="115">
                  <c:v>10.993850039778515</c:v>
                </c:pt>
                <c:pt idx="116">
                  <c:v>10.992299293689424</c:v>
                </c:pt>
                <c:pt idx="117">
                  <c:v>10.990648393702717</c:v>
                </c:pt>
                <c:pt idx="118">
                  <c:v>10.988897319964241</c:v>
                </c:pt>
                <c:pt idx="119">
                  <c:v>10.987046051409379</c:v>
                </c:pt>
                <c:pt idx="120">
                  <c:v>10.985094565761813</c:v>
                </c:pt>
                <c:pt idx="121">
                  <c:v>10.983042839532139</c:v>
                </c:pt>
                <c:pt idx="122">
                  <c:v>10.98089084801649</c:v>
                </c:pt>
                <c:pt idx="123">
                  <c:v>10.978638565295025</c:v>
                </c:pt>
                <c:pt idx="124">
                  <c:v>10.976285964230357</c:v>
                </c:pt>
                <c:pt idx="125">
                  <c:v>10.973833016465942</c:v>
                </c:pt>
                <c:pt idx="126">
                  <c:v>10.971279692424336</c:v>
                </c:pt>
                <c:pt idx="127">
                  <c:v>10.96862596130542</c:v>
                </c:pt>
                <c:pt idx="128">
                  <c:v>10.965871791084531</c:v>
                </c:pt>
                <c:pt idx="129">
                  <c:v>10.963017148510531</c:v>
                </c:pt>
                <c:pt idx="130">
                  <c:v>10.960061999103779</c:v>
                </c:pt>
                <c:pt idx="131">
                  <c:v>10.957006307154053</c:v>
                </c:pt>
                <c:pt idx="132">
                  <c:v>10.953850035718368</c:v>
                </c:pt>
                <c:pt idx="133">
                  <c:v>10.950593146618747</c:v>
                </c:pt>
                <c:pt idx="134">
                  <c:v>10.947235600439878</c:v>
                </c:pt>
                <c:pt idx="135">
                  <c:v>10.943777356526748</c:v>
                </c:pt>
                <c:pt idx="136">
                  <c:v>10.940218372982137</c:v>
                </c:pt>
                <c:pt idx="137">
                  <c:v>10.936558606664079</c:v>
                </c:pt>
                <c:pt idx="138">
                  <c:v>10.93279801318322</c:v>
                </c:pt>
                <c:pt idx="139">
                  <c:v>10.928936546900115</c:v>
                </c:pt>
                <c:pt idx="140">
                  <c:v>10.924974160922442</c:v>
                </c:pt>
                <c:pt idx="141">
                  <c:v>10.920910807102121</c:v>
                </c:pt>
                <c:pt idx="142">
                  <c:v>10.916746436032362</c:v>
                </c:pt>
                <c:pt idx="143">
                  <c:v>10.912480997044653</c:v>
                </c:pt>
                <c:pt idx="144">
                  <c:v>10.908114438205629</c:v>
                </c:pt>
                <c:pt idx="145">
                  <c:v>10.903646706313893</c:v>
                </c:pt>
                <c:pt idx="146">
                  <c:v>10.899077746896744</c:v>
                </c:pt>
                <c:pt idx="147">
                  <c:v>10.8944075042068</c:v>
                </c:pt>
                <c:pt idx="148">
                  <c:v>10.889635921218588</c:v>
                </c:pt>
                <c:pt idx="149">
                  <c:v>10.884762939625009</c:v>
                </c:pt>
                <c:pt idx="150">
                  <c:v>10.879788499833719</c:v>
                </c:pt>
                <c:pt idx="151">
                  <c:v>10.874712540963468</c:v>
                </c:pt>
                <c:pt idx="152">
                  <c:v>10.869535000840305</c:v>
                </c:pt>
                <c:pt idx="153">
                  <c:v>10.864255815993722</c:v>
                </c:pt>
                <c:pt idx="154">
                  <c:v>10.858874921652713</c:v>
                </c:pt>
                <c:pt idx="155">
                  <c:v>10.853392251741742</c:v>
                </c:pt>
                <c:pt idx="156">
                  <c:v>10.847807738876615</c:v>
                </c:pt>
                <c:pt idx="157">
                  <c:v>10.842121314360288</c:v>
                </c:pt>
                <c:pt idx="158">
                  <c:v>10.836332908178555</c:v>
                </c:pt>
                <c:pt idx="159">
                  <c:v>10.830442448995687</c:v>
                </c:pt>
                <c:pt idx="160">
                  <c:v>10.824449864149933</c:v>
                </c:pt>
                <c:pt idx="161">
                  <c:v>10.818355079648974</c:v>
                </c:pt>
                <c:pt idx="162">
                  <c:v>10.812158020165267</c:v>
                </c:pt>
                <c:pt idx="163">
                  <c:v>10.80585860903129</c:v>
                </c:pt>
                <c:pt idx="164">
                  <c:v>10.799456768234709</c:v>
                </c:pt>
                <c:pt idx="165">
                  <c:v>10.792952418413456</c:v>
                </c:pt>
                <c:pt idx="166">
                  <c:v>10.786345478850684</c:v>
                </c:pt>
                <c:pt idx="167">
                  <c:v>10.779635867469668</c:v>
                </c:pt>
                <c:pt idx="168">
                  <c:v>10.772823500828572</c:v>
                </c:pt>
                <c:pt idx="169">
                  <c:v>10.765908294115153</c:v>
                </c:pt>
                <c:pt idx="170">
                  <c:v>10.758890161141345</c:v>
                </c:pt>
                <c:pt idx="171">
                  <c:v>10.751769014337761</c:v>
                </c:pt>
                <c:pt idx="172">
                  <c:v>10.744544764748071</c:v>
                </c:pt>
                <c:pt idx="173">
                  <c:v>10.737217322023316</c:v>
                </c:pt>
                <c:pt idx="174">
                  <c:v>10.729786594416108</c:v>
                </c:pt>
                <c:pt idx="175">
                  <c:v>10.722252488774703</c:v>
                </c:pt>
                <c:pt idx="176">
                  <c:v>10.714614910537023</c:v>
                </c:pt>
                <c:pt idx="177">
                  <c:v>10.706873763724506</c:v>
                </c:pt>
                <c:pt idx="178">
                  <c:v>10.699028950935936</c:v>
                </c:pt>
                <c:pt idx="179">
                  <c:v>10.691080373341094</c:v>
                </c:pt>
                <c:pt idx="180">
                  <c:v>10.683027930674353</c:v>
                </c:pt>
                <c:pt idx="181">
                  <c:v>10.67487152122812</c:v>
                </c:pt>
                <c:pt idx="182">
                  <c:v>10.666611041846227</c:v>
                </c:pt>
                <c:pt idx="183">
                  <c:v>10.658246387917156</c:v>
                </c:pt>
                <c:pt idx="184">
                  <c:v>10.6497774533672</c:v>
                </c:pt>
                <c:pt idx="185">
                  <c:v>10.641204130653485</c:v>
                </c:pt>
                <c:pt idx="186">
                  <c:v>10.632526310756877</c:v>
                </c:pt>
                <c:pt idx="187">
                  <c:v>10.623743883174807</c:v>
                </c:pt>
                <c:pt idx="188">
                  <c:v>10.614856735913946</c:v>
                </c:pt>
                <c:pt idx="189">
                  <c:v>10.605864755482788</c:v>
                </c:pt>
                <c:pt idx="190">
                  <c:v>10.596767826884097</c:v>
                </c:pt>
                <c:pt idx="191">
                  <c:v>10.587565833607261</c:v>
                </c:pt>
                <c:pt idx="192">
                  <c:v>10.578258657620491</c:v>
                </c:pt>
                <c:pt idx="193">
                  <c:v>10.56884617936295</c:v>
                </c:pt>
                <c:pt idx="194">
                  <c:v>10.559328277736704</c:v>
                </c:pt>
                <c:pt idx="195">
                  <c:v>10.54970483009858</c:v>
                </c:pt>
                <c:pt idx="196">
                  <c:v>10.539975712251909</c:v>
                </c:pt>
                <c:pt idx="197">
                  <c:v>10.530140798438126</c:v>
                </c:pt>
                <c:pt idx="198">
                  <c:v>10.520199961328235</c:v>
                </c:pt>
                <c:pt idx="199">
                  <c:v>10.510153072014166</c:v>
                </c:pt>
                <c:pt idx="200">
                  <c:v>10.500000000000004</c:v>
                </c:pt>
              </c:numCache>
            </c:numRef>
          </c:xVal>
          <c:yVal>
            <c:numRef>
              <c:f>soczewka!$U$6:$U$206</c:f>
              <c:numCache>
                <c:formatCode>General</c:formatCode>
                <c:ptCount val="201"/>
                <c:pt idx="0">
                  <c:v>-4.9999999999999902</c:v>
                </c:pt>
                <c:pt idx="1">
                  <c:v>-4.9499999999999904</c:v>
                </c:pt>
                <c:pt idx="2">
                  <c:v>-4.8999999999999906</c:v>
                </c:pt>
                <c:pt idx="3">
                  <c:v>-4.8499999999999908</c:v>
                </c:pt>
                <c:pt idx="4">
                  <c:v>-4.7999999999999909</c:v>
                </c:pt>
                <c:pt idx="5">
                  <c:v>-4.7499999999999911</c:v>
                </c:pt>
                <c:pt idx="6">
                  <c:v>-4.6999999999999913</c:v>
                </c:pt>
                <c:pt idx="7">
                  <c:v>-4.6499999999999915</c:v>
                </c:pt>
                <c:pt idx="8">
                  <c:v>-4.5999999999999917</c:v>
                </c:pt>
                <c:pt idx="9">
                  <c:v>-4.5499999999999918</c:v>
                </c:pt>
                <c:pt idx="10">
                  <c:v>-4.499999999999992</c:v>
                </c:pt>
                <c:pt idx="11">
                  <c:v>-4.4499999999999922</c:v>
                </c:pt>
                <c:pt idx="12">
                  <c:v>-4.3999999999999924</c:v>
                </c:pt>
                <c:pt idx="13">
                  <c:v>-4.3499999999999925</c:v>
                </c:pt>
                <c:pt idx="14">
                  <c:v>-4.2999999999999927</c:v>
                </c:pt>
                <c:pt idx="15">
                  <c:v>-4.2499999999999929</c:v>
                </c:pt>
                <c:pt idx="16">
                  <c:v>-4.1999999999999931</c:v>
                </c:pt>
                <c:pt idx="17">
                  <c:v>-4.1499999999999932</c:v>
                </c:pt>
                <c:pt idx="18">
                  <c:v>-4.0999999999999934</c:v>
                </c:pt>
                <c:pt idx="19">
                  <c:v>-4.0499999999999936</c:v>
                </c:pt>
                <c:pt idx="20">
                  <c:v>-3.9999999999999938</c:v>
                </c:pt>
                <c:pt idx="21">
                  <c:v>-3.949999999999994</c:v>
                </c:pt>
                <c:pt idx="22">
                  <c:v>-3.8999999999999941</c:v>
                </c:pt>
                <c:pt idx="23">
                  <c:v>-3.8499999999999943</c:v>
                </c:pt>
                <c:pt idx="24">
                  <c:v>-3.7999999999999945</c:v>
                </c:pt>
                <c:pt idx="25">
                  <c:v>-3.7499999999999947</c:v>
                </c:pt>
                <c:pt idx="26">
                  <c:v>-3.6999999999999948</c:v>
                </c:pt>
                <c:pt idx="27">
                  <c:v>-3.649999999999995</c:v>
                </c:pt>
                <c:pt idx="28">
                  <c:v>-3.5999999999999952</c:v>
                </c:pt>
                <c:pt idx="29">
                  <c:v>-3.5499999999999954</c:v>
                </c:pt>
                <c:pt idx="30">
                  <c:v>-3.4999999999999956</c:v>
                </c:pt>
                <c:pt idx="31">
                  <c:v>-3.4499999999999957</c:v>
                </c:pt>
                <c:pt idx="32">
                  <c:v>-3.3999999999999959</c:v>
                </c:pt>
                <c:pt idx="33">
                  <c:v>-3.3499999999999961</c:v>
                </c:pt>
                <c:pt idx="34">
                  <c:v>-3.2999999999999963</c:v>
                </c:pt>
                <c:pt idx="35">
                  <c:v>-3.2499999999999964</c:v>
                </c:pt>
                <c:pt idx="36">
                  <c:v>-3.1999999999999966</c:v>
                </c:pt>
                <c:pt idx="37">
                  <c:v>-3.1499999999999968</c:v>
                </c:pt>
                <c:pt idx="38">
                  <c:v>-3.099999999999997</c:v>
                </c:pt>
                <c:pt idx="39">
                  <c:v>-3.0499999999999972</c:v>
                </c:pt>
                <c:pt idx="40">
                  <c:v>-2.9999999999999973</c:v>
                </c:pt>
                <c:pt idx="41">
                  <c:v>-2.9499999999999975</c:v>
                </c:pt>
                <c:pt idx="42">
                  <c:v>-2.8999999999999977</c:v>
                </c:pt>
                <c:pt idx="43">
                  <c:v>-2.8499999999999979</c:v>
                </c:pt>
                <c:pt idx="44">
                  <c:v>-2.799999999999998</c:v>
                </c:pt>
                <c:pt idx="45">
                  <c:v>-2.7499999999999982</c:v>
                </c:pt>
                <c:pt idx="46">
                  <c:v>-2.6999999999999984</c:v>
                </c:pt>
                <c:pt idx="47">
                  <c:v>-2.6499999999999986</c:v>
                </c:pt>
                <c:pt idx="48">
                  <c:v>-2.5999999999999988</c:v>
                </c:pt>
                <c:pt idx="49">
                  <c:v>-2.5499999999999989</c:v>
                </c:pt>
                <c:pt idx="50">
                  <c:v>-2.4999999999999991</c:v>
                </c:pt>
                <c:pt idx="51">
                  <c:v>-2.4499999999999993</c:v>
                </c:pt>
                <c:pt idx="52">
                  <c:v>-2.3999999999999995</c:v>
                </c:pt>
                <c:pt idx="53">
                  <c:v>-2.3499999999999996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-2.1500000000000004</c:v>
                </c:pt>
                <c:pt idx="58">
                  <c:v>-2.1000000000000005</c:v>
                </c:pt>
                <c:pt idx="59">
                  <c:v>-2.0500000000000007</c:v>
                </c:pt>
                <c:pt idx="60">
                  <c:v>-2.0000000000000009</c:v>
                </c:pt>
                <c:pt idx="61">
                  <c:v>-1.9500000000000011</c:v>
                </c:pt>
                <c:pt idx="62">
                  <c:v>-1.900000000000001</c:v>
                </c:pt>
                <c:pt idx="63">
                  <c:v>-1.850000000000001</c:v>
                </c:pt>
                <c:pt idx="64">
                  <c:v>-1.8000000000000009</c:v>
                </c:pt>
                <c:pt idx="65">
                  <c:v>-1.7500000000000009</c:v>
                </c:pt>
                <c:pt idx="66">
                  <c:v>-1.7000000000000008</c:v>
                </c:pt>
                <c:pt idx="67">
                  <c:v>-1.6500000000000008</c:v>
                </c:pt>
                <c:pt idx="68">
                  <c:v>-1.6000000000000008</c:v>
                </c:pt>
                <c:pt idx="69">
                  <c:v>-1.5500000000000007</c:v>
                </c:pt>
                <c:pt idx="70">
                  <c:v>-1.5000000000000007</c:v>
                </c:pt>
                <c:pt idx="71">
                  <c:v>-1.4500000000000006</c:v>
                </c:pt>
                <c:pt idx="72">
                  <c:v>-1.4000000000000006</c:v>
                </c:pt>
                <c:pt idx="73">
                  <c:v>-1.3500000000000005</c:v>
                </c:pt>
                <c:pt idx="74">
                  <c:v>-1.3000000000000005</c:v>
                </c:pt>
                <c:pt idx="75">
                  <c:v>-1.2500000000000004</c:v>
                </c:pt>
                <c:pt idx="76">
                  <c:v>-1.2000000000000004</c:v>
                </c:pt>
                <c:pt idx="77">
                  <c:v>-1.1500000000000004</c:v>
                </c:pt>
                <c:pt idx="78">
                  <c:v>-1.1000000000000003</c:v>
                </c:pt>
                <c:pt idx="79">
                  <c:v>-1.0500000000000003</c:v>
                </c:pt>
                <c:pt idx="80">
                  <c:v>-1.0000000000000002</c:v>
                </c:pt>
                <c:pt idx="81">
                  <c:v>-0.95000000000000029</c:v>
                </c:pt>
                <c:pt idx="82">
                  <c:v>-0.90000000000000024</c:v>
                </c:pt>
                <c:pt idx="83">
                  <c:v>-0.8500000000000002</c:v>
                </c:pt>
                <c:pt idx="84">
                  <c:v>-0.80000000000000016</c:v>
                </c:pt>
                <c:pt idx="85">
                  <c:v>-0.75000000000000011</c:v>
                </c:pt>
                <c:pt idx="86">
                  <c:v>-0.70000000000000007</c:v>
                </c:pt>
                <c:pt idx="87">
                  <c:v>-0.65</c:v>
                </c:pt>
                <c:pt idx="88">
                  <c:v>-0.6</c:v>
                </c:pt>
                <c:pt idx="89">
                  <c:v>-0.54999999999999993</c:v>
                </c:pt>
                <c:pt idx="90">
                  <c:v>-0.49999999999999994</c:v>
                </c:pt>
                <c:pt idx="91">
                  <c:v>-0.44999999999999996</c:v>
                </c:pt>
                <c:pt idx="92">
                  <c:v>-0.39999999999999997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-0.15000000000000002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0.15000000000000002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0.39999999999999997</c:v>
                </c:pt>
                <c:pt idx="109">
                  <c:v>0.44999999999999996</c:v>
                </c:pt>
                <c:pt idx="110">
                  <c:v>0.49999999999999994</c:v>
                </c:pt>
                <c:pt idx="111">
                  <c:v>0.54999999999999993</c:v>
                </c:pt>
                <c:pt idx="112">
                  <c:v>0.6</c:v>
                </c:pt>
                <c:pt idx="113">
                  <c:v>0.65</c:v>
                </c:pt>
                <c:pt idx="114">
                  <c:v>0.70000000000000007</c:v>
                </c:pt>
                <c:pt idx="115">
                  <c:v>0.75000000000000011</c:v>
                </c:pt>
                <c:pt idx="116">
                  <c:v>0.80000000000000016</c:v>
                </c:pt>
                <c:pt idx="117">
                  <c:v>0.8500000000000002</c:v>
                </c:pt>
                <c:pt idx="118">
                  <c:v>0.90000000000000024</c:v>
                </c:pt>
                <c:pt idx="119">
                  <c:v>0.95000000000000029</c:v>
                </c:pt>
                <c:pt idx="120">
                  <c:v>1.0000000000000002</c:v>
                </c:pt>
                <c:pt idx="121">
                  <c:v>1.0500000000000003</c:v>
                </c:pt>
                <c:pt idx="122">
                  <c:v>1.1000000000000003</c:v>
                </c:pt>
                <c:pt idx="123">
                  <c:v>1.1500000000000004</c:v>
                </c:pt>
                <c:pt idx="124">
                  <c:v>1.2000000000000004</c:v>
                </c:pt>
                <c:pt idx="125">
                  <c:v>1.2500000000000004</c:v>
                </c:pt>
                <c:pt idx="126">
                  <c:v>1.3000000000000005</c:v>
                </c:pt>
                <c:pt idx="127">
                  <c:v>1.3500000000000005</c:v>
                </c:pt>
                <c:pt idx="128">
                  <c:v>1.4000000000000006</c:v>
                </c:pt>
                <c:pt idx="129">
                  <c:v>1.4500000000000006</c:v>
                </c:pt>
                <c:pt idx="130">
                  <c:v>1.5000000000000007</c:v>
                </c:pt>
                <c:pt idx="131">
                  <c:v>1.5500000000000007</c:v>
                </c:pt>
                <c:pt idx="132">
                  <c:v>1.6000000000000008</c:v>
                </c:pt>
                <c:pt idx="133">
                  <c:v>1.6500000000000008</c:v>
                </c:pt>
                <c:pt idx="134">
                  <c:v>1.7000000000000008</c:v>
                </c:pt>
                <c:pt idx="135">
                  <c:v>1.7500000000000009</c:v>
                </c:pt>
                <c:pt idx="136">
                  <c:v>1.8000000000000009</c:v>
                </c:pt>
                <c:pt idx="137">
                  <c:v>1.850000000000001</c:v>
                </c:pt>
                <c:pt idx="138">
                  <c:v>1.900000000000001</c:v>
                </c:pt>
                <c:pt idx="139">
                  <c:v>1.9500000000000011</c:v>
                </c:pt>
                <c:pt idx="140">
                  <c:v>2.0000000000000009</c:v>
                </c:pt>
                <c:pt idx="141">
                  <c:v>2.0500000000000007</c:v>
                </c:pt>
                <c:pt idx="142">
                  <c:v>2.1000000000000005</c:v>
                </c:pt>
                <c:pt idx="143">
                  <c:v>2.1500000000000004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2.3499999999999996</c:v>
                </c:pt>
                <c:pt idx="148">
                  <c:v>2.3999999999999995</c:v>
                </c:pt>
                <c:pt idx="149">
                  <c:v>2.4499999999999993</c:v>
                </c:pt>
                <c:pt idx="150">
                  <c:v>2.4999999999999991</c:v>
                </c:pt>
                <c:pt idx="151">
                  <c:v>2.5499999999999989</c:v>
                </c:pt>
                <c:pt idx="152">
                  <c:v>2.5999999999999988</c:v>
                </c:pt>
                <c:pt idx="153">
                  <c:v>2.6499999999999986</c:v>
                </c:pt>
                <c:pt idx="154">
                  <c:v>2.6999999999999984</c:v>
                </c:pt>
                <c:pt idx="155">
                  <c:v>2.7499999999999982</c:v>
                </c:pt>
                <c:pt idx="156">
                  <c:v>2.799999999999998</c:v>
                </c:pt>
                <c:pt idx="157">
                  <c:v>2.8499999999999979</c:v>
                </c:pt>
                <c:pt idx="158">
                  <c:v>2.8999999999999977</c:v>
                </c:pt>
                <c:pt idx="159">
                  <c:v>2.9499999999999975</c:v>
                </c:pt>
                <c:pt idx="160">
                  <c:v>2.9999999999999973</c:v>
                </c:pt>
                <c:pt idx="161">
                  <c:v>3.0499999999999972</c:v>
                </c:pt>
                <c:pt idx="162">
                  <c:v>3.099999999999997</c:v>
                </c:pt>
                <c:pt idx="163">
                  <c:v>3.1499999999999968</c:v>
                </c:pt>
                <c:pt idx="164">
                  <c:v>3.1999999999999966</c:v>
                </c:pt>
                <c:pt idx="165">
                  <c:v>3.2499999999999964</c:v>
                </c:pt>
                <c:pt idx="166">
                  <c:v>3.2999999999999963</c:v>
                </c:pt>
                <c:pt idx="167">
                  <c:v>3.3499999999999961</c:v>
                </c:pt>
                <c:pt idx="168">
                  <c:v>3.3999999999999959</c:v>
                </c:pt>
                <c:pt idx="169">
                  <c:v>3.4499999999999957</c:v>
                </c:pt>
                <c:pt idx="170">
                  <c:v>3.4999999999999956</c:v>
                </c:pt>
                <c:pt idx="171">
                  <c:v>3.5499999999999954</c:v>
                </c:pt>
                <c:pt idx="172">
                  <c:v>3.5999999999999952</c:v>
                </c:pt>
                <c:pt idx="173">
                  <c:v>3.649999999999995</c:v>
                </c:pt>
                <c:pt idx="174">
                  <c:v>3.6999999999999948</c:v>
                </c:pt>
                <c:pt idx="175">
                  <c:v>3.7499999999999947</c:v>
                </c:pt>
                <c:pt idx="176">
                  <c:v>3.7999999999999945</c:v>
                </c:pt>
                <c:pt idx="177">
                  <c:v>3.8499999999999943</c:v>
                </c:pt>
                <c:pt idx="178">
                  <c:v>3.8999999999999941</c:v>
                </c:pt>
                <c:pt idx="179">
                  <c:v>3.949999999999994</c:v>
                </c:pt>
                <c:pt idx="180">
                  <c:v>3.9999999999999938</c:v>
                </c:pt>
                <c:pt idx="181">
                  <c:v>4.0499999999999936</c:v>
                </c:pt>
                <c:pt idx="182">
                  <c:v>4.0999999999999934</c:v>
                </c:pt>
                <c:pt idx="183">
                  <c:v>4.1499999999999932</c:v>
                </c:pt>
                <c:pt idx="184">
                  <c:v>4.1999999999999931</c:v>
                </c:pt>
                <c:pt idx="185">
                  <c:v>4.2499999999999929</c:v>
                </c:pt>
                <c:pt idx="186">
                  <c:v>4.2999999999999927</c:v>
                </c:pt>
                <c:pt idx="187">
                  <c:v>4.3499999999999925</c:v>
                </c:pt>
                <c:pt idx="188">
                  <c:v>4.3999999999999924</c:v>
                </c:pt>
                <c:pt idx="189">
                  <c:v>4.4499999999999922</c:v>
                </c:pt>
                <c:pt idx="190">
                  <c:v>4.499999999999992</c:v>
                </c:pt>
                <c:pt idx="191">
                  <c:v>4.5499999999999918</c:v>
                </c:pt>
                <c:pt idx="192">
                  <c:v>4.5999999999999917</c:v>
                </c:pt>
                <c:pt idx="193">
                  <c:v>4.6499999999999915</c:v>
                </c:pt>
                <c:pt idx="194">
                  <c:v>4.6999999999999913</c:v>
                </c:pt>
                <c:pt idx="195">
                  <c:v>4.7499999999999911</c:v>
                </c:pt>
                <c:pt idx="196">
                  <c:v>4.7999999999999909</c:v>
                </c:pt>
                <c:pt idx="197">
                  <c:v>4.8499999999999908</c:v>
                </c:pt>
                <c:pt idx="198">
                  <c:v>4.8999999999999906</c:v>
                </c:pt>
                <c:pt idx="199">
                  <c:v>4.9499999999999904</c:v>
                </c:pt>
                <c:pt idx="200">
                  <c:v>4.9999999999999902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5-4B70-AC1A-DFA9AA97F59A}"/>
            </c:ext>
          </c:extLst>
        </c:ser>
        <c:ser>
          <c:idx val="4"/>
          <c:order val="4"/>
          <c:tx>
            <c:v>normalna 2</c:v>
          </c:tx>
          <c:spPr>
            <a:ln w="25400">
              <a:solidFill>
                <a:schemeClr val="accent3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soczewka!$O$16:$O$22</c:f>
              <c:numCache>
                <c:formatCode>General</c:formatCode>
                <c:ptCount val="7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soczewka!$P$16:$P$22</c:f>
              <c:numCache>
                <c:formatCode>General</c:formatCode>
                <c:ptCount val="7"/>
                <c:pt idx="0">
                  <c:v>1.1225574543858479</c:v>
                </c:pt>
                <c:pt idx="1">
                  <c:v>2.7267956564514204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B5-4B70-AC1A-DFA9AA97F59A}"/>
            </c:ext>
          </c:extLst>
        </c:ser>
        <c:ser>
          <c:idx val="5"/>
          <c:order val="5"/>
          <c:tx>
            <c:v>daszek</c:v>
          </c:tx>
          <c:spPr>
            <a:ln w="38100">
              <a:solidFill>
                <a:srgbClr val="4F81BD"/>
              </a:solidFill>
            </a:ln>
          </c:spPr>
          <c:marker>
            <c:symbol val="none"/>
          </c:marker>
          <c:xVal>
            <c:numRef>
              <c:f>soczewka!$O$4:$O$5</c:f>
              <c:numCache>
                <c:formatCode>General</c:formatCode>
                <c:ptCount val="2"/>
                <c:pt idx="0">
                  <c:v>9.5</c:v>
                </c:pt>
                <c:pt idx="1">
                  <c:v>10.5</c:v>
                </c:pt>
              </c:numCache>
            </c:numRef>
          </c:xVal>
          <c:yVal>
            <c:numRef>
              <c:f>soczewka!$P$4:$P$5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5-4B70-AC1A-DFA9AA97F59A}"/>
            </c:ext>
          </c:extLst>
        </c:ser>
        <c:ser>
          <c:idx val="6"/>
          <c:order val="6"/>
          <c:tx>
            <c:v>podłoga</c:v>
          </c:tx>
          <c:spPr>
            <a:ln w="381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soczewka!$O$6:$O$7</c:f>
              <c:numCache>
                <c:formatCode>General</c:formatCode>
                <c:ptCount val="2"/>
                <c:pt idx="0">
                  <c:v>9.5</c:v>
                </c:pt>
                <c:pt idx="1">
                  <c:v>10.5</c:v>
                </c:pt>
              </c:numCache>
            </c:numRef>
          </c:xVal>
          <c:yVal>
            <c:numRef>
              <c:f>soczewka!$P$6:$P$7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B5-4B70-AC1A-DFA9AA97F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49600"/>
        <c:axId val="61944192"/>
      </c:scatterChart>
      <c:valAx>
        <c:axId val="62249600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1944192"/>
        <c:crosses val="autoZero"/>
        <c:crossBetween val="midCat"/>
        <c:majorUnit val="1"/>
      </c:valAx>
      <c:valAx>
        <c:axId val="61944192"/>
        <c:scaling>
          <c:orientation val="minMax"/>
          <c:max val="6"/>
          <c:min val="-6"/>
        </c:scaling>
        <c:delete val="0"/>
        <c:axPos val="l"/>
        <c:numFmt formatCode="General" sourceLinked="1"/>
        <c:majorTickMark val="out"/>
        <c:minorTickMark val="none"/>
        <c:tickLblPos val="nextTo"/>
        <c:crossAx val="62249600"/>
        <c:crosses val="autoZero"/>
        <c:crossBetween val="midCat"/>
        <c:majorUnit val="1"/>
      </c:valAx>
    </c:plotArea>
    <c:legend>
      <c:legendPos val="r"/>
      <c:layout>
        <c:manualLayout>
          <c:xMode val="edge"/>
          <c:yMode val="edge"/>
          <c:x val="0.76913679496356657"/>
          <c:y val="3.5745402643852005E-3"/>
          <c:w val="0.23086320503643337"/>
          <c:h val="0.4714354965426169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57150</xdr:rowOff>
    </xdr:from>
    <xdr:to>
      <xdr:col>10</xdr:col>
      <xdr:colOff>419099</xdr:colOff>
      <xdr:row>28</xdr:row>
      <xdr:rowOff>171450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0</xdr:rowOff>
        </xdr:from>
        <xdr:to>
          <xdr:col>12</xdr:col>
          <xdr:colOff>485775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31</xdr:row>
      <xdr:rowOff>38100</xdr:rowOff>
    </xdr:from>
    <xdr:to>
      <xdr:col>7</xdr:col>
      <xdr:colOff>476250</xdr:colOff>
      <xdr:row>59</xdr:row>
      <xdr:rowOff>152400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>
    <tabColor theme="5" tint="0.39997558519241921"/>
  </sheetPr>
  <dimension ref="A1"/>
  <sheetViews>
    <sheetView tabSelected="1" workbookViewId="0">
      <selection activeCell="M20" sqref="M20"/>
    </sheetView>
  </sheetViews>
  <sheetFormatPr defaultRowHeight="14.25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Przycisk3_Click">
                <anchor moveWithCells="1" sizeWithCells="1">
                  <from>
                    <xdr:col>11</xdr:col>
                    <xdr:colOff>47625</xdr:colOff>
                    <xdr:row>1</xdr:row>
                    <xdr:rowOff>0</xdr:rowOff>
                  </from>
                  <to>
                    <xdr:col>12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U206"/>
  <sheetViews>
    <sheetView workbookViewId="0">
      <selection activeCell="C6" sqref="C6"/>
    </sheetView>
  </sheetViews>
  <sheetFormatPr defaultRowHeight="14.25"/>
  <cols>
    <col min="1" max="1" width="15.375" customWidth="1"/>
    <col min="4" max="4" width="15.625" customWidth="1"/>
    <col min="5" max="5" width="13" customWidth="1"/>
    <col min="6" max="6" width="14.25" customWidth="1"/>
    <col min="7" max="7" width="13.25" customWidth="1"/>
    <col min="8" max="8" width="6.875" customWidth="1"/>
    <col min="9" max="9" width="17.625" customWidth="1"/>
    <col min="13" max="13" width="14.25" customWidth="1"/>
  </cols>
  <sheetData>
    <row r="1" spans="1:21" ht="15" thickBot="1">
      <c r="A1" s="25" t="s">
        <v>25</v>
      </c>
      <c r="B1" s="26"/>
      <c r="D1" s="1"/>
      <c r="E1" s="3" t="s">
        <v>0</v>
      </c>
      <c r="F1" s="5"/>
      <c r="G1" s="6" t="s">
        <v>10</v>
      </c>
      <c r="H1" s="5"/>
      <c r="I1" s="15" t="s">
        <v>4</v>
      </c>
      <c r="J1" s="16" t="s">
        <v>23</v>
      </c>
      <c r="K1" s="17"/>
    </row>
    <row r="2" spans="1:21" ht="15" thickBot="1">
      <c r="A2" s="21" t="s">
        <v>5</v>
      </c>
      <c r="B2" s="17">
        <v>10</v>
      </c>
      <c r="D2" s="1" t="s">
        <v>1</v>
      </c>
      <c r="E2" s="3">
        <v>0</v>
      </c>
      <c r="F2" s="7" t="s">
        <v>11</v>
      </c>
      <c r="G2" s="20">
        <f>B4</f>
        <v>5000000000</v>
      </c>
      <c r="H2" s="7" t="s">
        <v>6</v>
      </c>
      <c r="I2" s="11">
        <f>G3-B3/2</f>
        <v>9.5</v>
      </c>
      <c r="J2" s="18">
        <f>B8</f>
        <v>1.2</v>
      </c>
      <c r="K2" s="19"/>
    </row>
    <row r="3" spans="1:21">
      <c r="A3" s="22" t="s">
        <v>26</v>
      </c>
      <c r="B3" s="23">
        <v>1</v>
      </c>
      <c r="D3" s="1" t="s">
        <v>2</v>
      </c>
      <c r="E3" s="4">
        <f>B6</f>
        <v>2</v>
      </c>
      <c r="F3" s="7" t="s">
        <v>5</v>
      </c>
      <c r="G3" s="8">
        <f>B2</f>
        <v>10</v>
      </c>
      <c r="H3" s="7" t="s">
        <v>7</v>
      </c>
      <c r="I3" s="8">
        <v>5</v>
      </c>
      <c r="L3" t="s">
        <v>1</v>
      </c>
      <c r="M3" t="s">
        <v>2</v>
      </c>
      <c r="Q3">
        <v>0</v>
      </c>
      <c r="R3">
        <f>B6</f>
        <v>2</v>
      </c>
      <c r="T3" t="s">
        <v>1</v>
      </c>
      <c r="U3" t="s">
        <v>2</v>
      </c>
    </row>
    <row r="4" spans="1:21">
      <c r="A4" s="22" t="s">
        <v>40</v>
      </c>
      <c r="B4" s="23">
        <f>500/C4</f>
        <v>5000000000</v>
      </c>
      <c r="C4">
        <v>9.9999999999999995E-8</v>
      </c>
      <c r="D4" s="1" t="s">
        <v>3</v>
      </c>
      <c r="E4" s="2">
        <f>-B7</f>
        <v>0</v>
      </c>
      <c r="F4" s="7" t="s">
        <v>12</v>
      </c>
      <c r="G4" s="8">
        <f>I2+G2*SQRT(G2*G2-I3*I3)/ABS(G2)</f>
        <v>5000000009.5</v>
      </c>
      <c r="H4" s="7" t="s">
        <v>8</v>
      </c>
      <c r="I4" s="8">
        <f>G3-B3/2</f>
        <v>9.5</v>
      </c>
      <c r="O4">
        <f>I2</f>
        <v>9.5</v>
      </c>
      <c r="P4">
        <f>I3</f>
        <v>5</v>
      </c>
      <c r="Q4">
        <f>E8</f>
        <v>9.4999999184454662</v>
      </c>
      <c r="R4">
        <f>E9</f>
        <v>1.9991197909020035</v>
      </c>
    </row>
    <row r="5" spans="1:21">
      <c r="A5" s="22" t="s">
        <v>39</v>
      </c>
      <c r="B5" s="23">
        <f>500/C5</f>
        <v>25</v>
      </c>
      <c r="C5">
        <v>20</v>
      </c>
      <c r="D5" s="12" t="s">
        <v>16</v>
      </c>
      <c r="E5">
        <f>RADIANS(E4)</f>
        <v>0</v>
      </c>
      <c r="F5" s="27" t="s">
        <v>13</v>
      </c>
      <c r="G5" s="9">
        <v>0</v>
      </c>
      <c r="H5" s="10" t="s">
        <v>9</v>
      </c>
      <c r="I5" s="9">
        <f>-I3</f>
        <v>-5</v>
      </c>
      <c r="O5">
        <f>I15</f>
        <v>10.5</v>
      </c>
      <c r="P5">
        <f>I16</f>
        <v>5</v>
      </c>
      <c r="Q5">
        <f>E21</f>
        <v>10.925064206387647</v>
      </c>
      <c r="R5">
        <f>E22</f>
        <v>1.9988777223811607</v>
      </c>
    </row>
    <row r="6" spans="1:21">
      <c r="A6" s="22" t="s">
        <v>28</v>
      </c>
      <c r="B6" s="23">
        <v>2</v>
      </c>
      <c r="D6" s="13" t="s">
        <v>14</v>
      </c>
      <c r="E6" s="13"/>
      <c r="F6" s="5"/>
      <c r="G6" s="6" t="s">
        <v>19</v>
      </c>
      <c r="L6">
        <f t="shared" ref="L6:L69" si="0">$G$4-($G$2/ABS($G$2))*SQRT($G$2*$G$2-(M6)^2)</f>
        <v>9.5</v>
      </c>
      <c r="M6">
        <f t="shared" ref="M6:M68" si="1">M7-0.05</f>
        <v>-4.9999999999999902</v>
      </c>
      <c r="O6">
        <f>I4</f>
        <v>9.5</v>
      </c>
      <c r="P6">
        <f>I5</f>
        <v>-5</v>
      </c>
      <c r="Q6">
        <f>25</f>
        <v>25</v>
      </c>
      <c r="R6">
        <f>Q6*TAN(3.1415-E30)+E28</f>
        <v>1.7687293613425501</v>
      </c>
      <c r="T6">
        <f t="shared" ref="T6:T69" si="2">$G$17+($G$15/ABS($G$15))*SQRT($G$15*$G$15-(U6)^2)</f>
        <v>10.500000000000004</v>
      </c>
      <c r="U6">
        <f t="shared" ref="U6:U68" si="3">U7-0.05</f>
        <v>-4.9999999999999902</v>
      </c>
    </row>
    <row r="7" spans="1:21">
      <c r="A7" s="22" t="s">
        <v>27</v>
      </c>
      <c r="B7" s="23">
        <v>0</v>
      </c>
      <c r="D7" s="13" t="s">
        <v>15</v>
      </c>
      <c r="E7" s="13"/>
      <c r="F7" s="7" t="s">
        <v>17</v>
      </c>
      <c r="G7" s="8">
        <f>E9/(E8-G4)</f>
        <v>-3.9982395818040069E-10</v>
      </c>
      <c r="I7">
        <f>(E9/ABS(E9))*(G2/ABS(G2))*ABS(ATAN(G7))</f>
        <v>3.9982395818040069E-10</v>
      </c>
      <c r="J7">
        <f>DEGREES(I7)</f>
        <v>2.2908225351952084E-8</v>
      </c>
      <c r="L7">
        <f t="shared" si="0"/>
        <v>9.5</v>
      </c>
      <c r="M7">
        <f t="shared" si="1"/>
        <v>-4.9499999999999904</v>
      </c>
      <c r="O7">
        <f>I17</f>
        <v>10.5</v>
      </c>
      <c r="P7">
        <f>I18</f>
        <v>-5</v>
      </c>
      <c r="T7">
        <f t="shared" si="2"/>
        <v>10.510153072014166</v>
      </c>
      <c r="U7">
        <f t="shared" si="3"/>
        <v>-4.9499999999999904</v>
      </c>
    </row>
    <row r="8" spans="1:21">
      <c r="A8" s="22" t="s">
        <v>38</v>
      </c>
      <c r="B8" s="23">
        <v>1.2</v>
      </c>
      <c r="D8" s="13" t="s">
        <v>1</v>
      </c>
      <c r="E8" s="13">
        <f>((G4-TAN(3.1415-E5)*E3)-(G2/ABS(G2))*SQRT((E3*TAN(3.1415-E5)-G4)*(E3*TAN(3.1415-E5)-G4)-((1+(TAN(3.1415-E5))^2)*(G4*G4+E3*E3-G2*G2))))/(1+(TAN(3.1415-E5))^2)</f>
        <v>9.4999999184454662</v>
      </c>
      <c r="F8" s="27" t="s">
        <v>18</v>
      </c>
      <c r="G8" s="9">
        <f>E9*G4/(G4-E8)</f>
        <v>1.9991197947003312</v>
      </c>
      <c r="I8">
        <f>TAN(3.1415-E5)</f>
        <v>-9.2653590058191376E-5</v>
      </c>
      <c r="L8">
        <f t="shared" si="0"/>
        <v>9.5</v>
      </c>
      <c r="M8">
        <f t="shared" si="1"/>
        <v>-4.8999999999999906</v>
      </c>
      <c r="O8">
        <v>0</v>
      </c>
      <c r="P8">
        <f>$G$7*O8+$G$8</f>
        <v>1.9991197947003312</v>
      </c>
      <c r="T8">
        <f t="shared" si="2"/>
        <v>10.520199961328235</v>
      </c>
      <c r="U8">
        <f t="shared" si="3"/>
        <v>-4.8999999999999906</v>
      </c>
    </row>
    <row r="9" spans="1:21" ht="15" thickBot="1">
      <c r="A9" s="24" t="s">
        <v>37</v>
      </c>
      <c r="B9" s="19">
        <v>1</v>
      </c>
      <c r="D9" s="13" t="s">
        <v>2</v>
      </c>
      <c r="E9" s="13">
        <f>TAN(3.1415-E5)*E8+E3</f>
        <v>1.9991197909020035</v>
      </c>
      <c r="I9">
        <f>I8-G7</f>
        <v>-9.2653190234233201E-5</v>
      </c>
      <c r="L9">
        <f t="shared" si="0"/>
        <v>9.5</v>
      </c>
      <c r="M9">
        <f t="shared" si="1"/>
        <v>-4.8499999999999908</v>
      </c>
      <c r="O9">
        <v>20</v>
      </c>
      <c r="P9">
        <f>$G$7*O9+$G$8</f>
        <v>1.9991197867038519</v>
      </c>
      <c r="T9">
        <f t="shared" si="2"/>
        <v>10.530140798438126</v>
      </c>
      <c r="U9">
        <f t="shared" si="3"/>
        <v>-4.8499999999999908</v>
      </c>
    </row>
    <row r="10" spans="1:21" ht="15" thickBot="1">
      <c r="D10" s="14" t="s">
        <v>21</v>
      </c>
      <c r="E10" t="s">
        <v>20</v>
      </c>
      <c r="F10">
        <f>ATAN(ABS((TAN(3.1415-E5)-G7)/(1+TAN(3.1415-E5)*G7)))</f>
        <v>9.2653189969099149E-5</v>
      </c>
      <c r="G10">
        <f>DEGREES(F10)</f>
        <v>5.3086367436532356E-3</v>
      </c>
      <c r="L10">
        <f t="shared" si="0"/>
        <v>9.5</v>
      </c>
      <c r="M10">
        <f t="shared" si="1"/>
        <v>-4.7999999999999909</v>
      </c>
      <c r="T10">
        <f t="shared" si="2"/>
        <v>10.539975712251909</v>
      </c>
      <c r="U10">
        <f t="shared" si="3"/>
        <v>-4.7999999999999909</v>
      </c>
    </row>
    <row r="11" spans="1:21" ht="15" thickBot="1">
      <c r="A11" s="25" t="s">
        <v>32</v>
      </c>
      <c r="B11" s="26"/>
      <c r="E11" t="s">
        <v>22</v>
      </c>
      <c r="F11">
        <f>ASIN((J15*SIN(F10))/J2)</f>
        <v>7.7210991607160913E-5</v>
      </c>
      <c r="G11">
        <f>DEGREES(F11)</f>
        <v>4.4238639511103416E-3</v>
      </c>
      <c r="L11">
        <f t="shared" si="0"/>
        <v>9.5</v>
      </c>
      <c r="M11">
        <f t="shared" si="1"/>
        <v>-4.7499999999999911</v>
      </c>
      <c r="T11">
        <f t="shared" si="2"/>
        <v>10.54970483009858</v>
      </c>
      <c r="U11">
        <f t="shared" si="3"/>
        <v>-4.7499999999999911</v>
      </c>
    </row>
    <row r="12" spans="1:21">
      <c r="A12" s="21" t="s">
        <v>33</v>
      </c>
      <c r="B12" s="17">
        <f>E31</f>
        <v>133.16827929961636</v>
      </c>
      <c r="L12">
        <f t="shared" si="0"/>
        <v>9.5</v>
      </c>
      <c r="M12">
        <f t="shared" si="1"/>
        <v>-4.6999999999999913</v>
      </c>
      <c r="T12">
        <f t="shared" si="2"/>
        <v>10.559328277736704</v>
      </c>
      <c r="U12">
        <f t="shared" si="3"/>
        <v>-4.6999999999999913</v>
      </c>
    </row>
    <row r="13" spans="1:21" ht="15" thickBot="1">
      <c r="A13" s="22" t="s">
        <v>34</v>
      </c>
      <c r="B13" s="23">
        <f>B12-T106</f>
        <v>122.16317672744813</v>
      </c>
      <c r="D13" t="s">
        <v>24</v>
      </c>
      <c r="L13">
        <f t="shared" si="0"/>
        <v>9.5</v>
      </c>
      <c r="M13">
        <f t="shared" si="1"/>
        <v>-4.6499999999999915</v>
      </c>
      <c r="T13">
        <f t="shared" si="2"/>
        <v>10.56884617936295</v>
      </c>
      <c r="U13">
        <f t="shared" si="3"/>
        <v>-4.6499999999999915</v>
      </c>
    </row>
    <row r="14" spans="1:21" ht="15" thickBot="1">
      <c r="A14" s="24" t="s">
        <v>35</v>
      </c>
      <c r="B14" s="19">
        <f>1/((J18-1)*((1/G2)+(1/G15)+(B3*(J18-1)/(J18*G2*G15))))</f>
        <v>124.99999937083334</v>
      </c>
      <c r="D14" s="1"/>
      <c r="E14" s="1" t="s">
        <v>29</v>
      </c>
      <c r="F14" s="5"/>
      <c r="G14" s="6" t="s">
        <v>10</v>
      </c>
      <c r="H14" s="5"/>
      <c r="I14" s="15" t="s">
        <v>4</v>
      </c>
      <c r="J14" s="16" t="s">
        <v>23</v>
      </c>
      <c r="K14" s="17"/>
      <c r="L14">
        <f t="shared" si="0"/>
        <v>9.5</v>
      </c>
      <c r="M14">
        <f t="shared" si="1"/>
        <v>-4.5999999999999917</v>
      </c>
      <c r="T14">
        <f t="shared" si="2"/>
        <v>10.578258657620491</v>
      </c>
      <c r="U14">
        <f t="shared" si="3"/>
        <v>-4.5999999999999917</v>
      </c>
    </row>
    <row r="15" spans="1:21" ht="15" thickBot="1">
      <c r="D15" s="1" t="s">
        <v>1</v>
      </c>
      <c r="E15" s="1">
        <v>0</v>
      </c>
      <c r="F15" s="7" t="s">
        <v>11</v>
      </c>
      <c r="G15" s="20">
        <f>B5</f>
        <v>25</v>
      </c>
      <c r="H15" s="7" t="s">
        <v>6</v>
      </c>
      <c r="I15" s="11">
        <f>G16+B3/2</f>
        <v>10.5</v>
      </c>
      <c r="J15" s="18">
        <f>B9</f>
        <v>1</v>
      </c>
      <c r="K15" s="19"/>
      <c r="L15">
        <f t="shared" si="0"/>
        <v>9.5</v>
      </c>
      <c r="M15">
        <f t="shared" si="1"/>
        <v>-4.5499999999999918</v>
      </c>
      <c r="T15">
        <f t="shared" si="2"/>
        <v>10.587565833607261</v>
      </c>
      <c r="U15">
        <f t="shared" si="3"/>
        <v>-4.5499999999999918</v>
      </c>
    </row>
    <row r="16" spans="1:21">
      <c r="D16" s="1" t="s">
        <v>2</v>
      </c>
      <c r="E16" s="1">
        <f>E9-E8*TAN(3.1415-E18)</f>
        <v>2.0007335082253008</v>
      </c>
      <c r="F16" s="7" t="s">
        <v>5</v>
      </c>
      <c r="G16" s="8">
        <f>B2</f>
        <v>10</v>
      </c>
      <c r="H16" s="7" t="s">
        <v>7</v>
      </c>
      <c r="I16" s="8">
        <v>5</v>
      </c>
      <c r="L16">
        <f t="shared" si="0"/>
        <v>9.5</v>
      </c>
      <c r="M16">
        <f t="shared" si="1"/>
        <v>-4.499999999999992</v>
      </c>
      <c r="O16">
        <v>0</v>
      </c>
      <c r="P16">
        <f>$G$20*O16+$G$21</f>
        <v>1.1225574543858479</v>
      </c>
      <c r="T16">
        <f t="shared" si="2"/>
        <v>10.596767826884097</v>
      </c>
      <c r="U16">
        <f t="shared" si="3"/>
        <v>-4.499999999999992</v>
      </c>
    </row>
    <row r="17" spans="4:21">
      <c r="D17" s="1" t="s">
        <v>3</v>
      </c>
      <c r="E17" s="1">
        <f>DEGREES(E18)</f>
        <v>4.423886859335693E-3</v>
      </c>
      <c r="F17" s="7" t="s">
        <v>12</v>
      </c>
      <c r="G17" s="8">
        <f>I15-G15*SQRT(G15*G15-I16*I16)/ABS(G15)</f>
        <v>-13.994897427831781</v>
      </c>
      <c r="H17" s="7" t="s">
        <v>8</v>
      </c>
      <c r="I17" s="8">
        <f>G16+B3/2</f>
        <v>10.5</v>
      </c>
      <c r="J17" t="s">
        <v>36</v>
      </c>
      <c r="L17">
        <f t="shared" si="0"/>
        <v>9.5</v>
      </c>
      <c r="M17">
        <f t="shared" si="1"/>
        <v>-4.4499999999999922</v>
      </c>
      <c r="O17">
        <v>20</v>
      </c>
      <c r="P17">
        <f>$G$20*O17+$G$21</f>
        <v>2.7267956564514204</v>
      </c>
      <c r="T17">
        <f t="shared" si="2"/>
        <v>10.605864755482788</v>
      </c>
      <c r="U17">
        <f t="shared" si="3"/>
        <v>-4.4499999999999922</v>
      </c>
    </row>
    <row r="18" spans="4:21">
      <c r="D18" s="1" t="s">
        <v>16</v>
      </c>
      <c r="E18" s="1">
        <f>I7-(I9/ABS(I9))*(F11)</f>
        <v>7.7211391431119088E-5</v>
      </c>
      <c r="F18" s="7" t="s">
        <v>13</v>
      </c>
      <c r="G18" s="8">
        <v>0</v>
      </c>
      <c r="H18" s="10" t="s">
        <v>9</v>
      </c>
      <c r="I18" s="9">
        <f>-I16</f>
        <v>-5</v>
      </c>
      <c r="J18">
        <f>J2/J15</f>
        <v>1.2</v>
      </c>
      <c r="L18">
        <f t="shared" si="0"/>
        <v>9.5</v>
      </c>
      <c r="M18">
        <f t="shared" si="1"/>
        <v>-4.3999999999999924</v>
      </c>
      <c r="T18">
        <f t="shared" si="2"/>
        <v>10.614856735913946</v>
      </c>
      <c r="U18">
        <f t="shared" si="3"/>
        <v>-4.3999999999999924</v>
      </c>
    </row>
    <row r="19" spans="4:21">
      <c r="D19" s="13" t="s">
        <v>14</v>
      </c>
      <c r="E19" s="13"/>
      <c r="G19" t="s">
        <v>19</v>
      </c>
      <c r="L19">
        <f t="shared" si="0"/>
        <v>9.5</v>
      </c>
      <c r="M19">
        <f t="shared" si="1"/>
        <v>-4.3499999999999925</v>
      </c>
      <c r="T19">
        <f t="shared" si="2"/>
        <v>10.623743883174807</v>
      </c>
      <c r="U19">
        <f t="shared" si="3"/>
        <v>-4.3499999999999925</v>
      </c>
    </row>
    <row r="20" spans="4:21">
      <c r="D20" s="13" t="s">
        <v>15</v>
      </c>
      <c r="E20" s="13"/>
      <c r="F20" t="s">
        <v>17</v>
      </c>
      <c r="G20">
        <f>E22/(E21-G17)</f>
        <v>8.0211910103278619E-2</v>
      </c>
      <c r="I20">
        <f>-(E22/ABS(E22))*(G15/ABS(G15))*ABS(ATAN(G20))</f>
        <v>-8.0040544665517688E-2</v>
      </c>
      <c r="J20">
        <f>DEGREES(I20)</f>
        <v>-4.585985399262519</v>
      </c>
      <c r="L20">
        <f t="shared" si="0"/>
        <v>9.5</v>
      </c>
      <c r="M20">
        <f t="shared" si="1"/>
        <v>-4.2999999999999927</v>
      </c>
      <c r="T20">
        <f t="shared" si="2"/>
        <v>10.632526310756877</v>
      </c>
      <c r="U20">
        <f t="shared" si="3"/>
        <v>-4.2999999999999927</v>
      </c>
    </row>
    <row r="21" spans="4:21">
      <c r="D21" s="13" t="s">
        <v>1</v>
      </c>
      <c r="E21" s="13">
        <f>((G17-TAN(3.1415-E18)*E16)+(G15/ABS(G15))*SQRT((E16*TAN(3.1415-E18)-G17)*(E16*TAN(3.1415-E18)-G17)-((1+(TAN(3.1415-E18))^2)*(G17*G17+E16*E16-G15*G15))))/(1+(TAN(3.1415-E18))^2)</f>
        <v>10.925064206387647</v>
      </c>
      <c r="F21" t="s">
        <v>18</v>
      </c>
      <c r="G21">
        <f>E22*G17/(G17-E21)</f>
        <v>1.1225574543858479</v>
      </c>
      <c r="I21">
        <f>TAN(3.1415-E18)</f>
        <v>-1.6986498285795628E-4</v>
      </c>
      <c r="L21">
        <f t="shared" si="0"/>
        <v>9.5</v>
      </c>
      <c r="M21">
        <f t="shared" si="1"/>
        <v>-4.2499999999999929</v>
      </c>
      <c r="T21">
        <f t="shared" si="2"/>
        <v>10.641204130653485</v>
      </c>
      <c r="U21">
        <f t="shared" si="3"/>
        <v>-4.2499999999999929</v>
      </c>
    </row>
    <row r="22" spans="4:21">
      <c r="D22" s="13" t="s">
        <v>2</v>
      </c>
      <c r="E22" s="13">
        <f>TAN(3.1415-E18)*E21+E16</f>
        <v>1.9988777223811607</v>
      </c>
      <c r="I22">
        <f>I21-G20</f>
        <v>-8.0381775086136573E-2</v>
      </c>
      <c r="L22">
        <f t="shared" si="0"/>
        <v>9.5</v>
      </c>
      <c r="M22">
        <f t="shared" si="1"/>
        <v>-4.1999999999999931</v>
      </c>
      <c r="T22">
        <f t="shared" si="2"/>
        <v>10.6497774533672</v>
      </c>
      <c r="U22">
        <f t="shared" si="3"/>
        <v>-4.1999999999999931</v>
      </c>
    </row>
    <row r="23" spans="4:21">
      <c r="D23" s="14" t="s">
        <v>21</v>
      </c>
      <c r="E23" t="s">
        <v>20</v>
      </c>
      <c r="F23">
        <f>ATAN(ABS((TAN(3.1415-E18)-G20)/(1+TAN(3.1415-E18)*G20)))</f>
        <v>8.0210409646741879E-2</v>
      </c>
      <c r="G23">
        <f>DEGREES(F23)</f>
        <v>4.5957179457737345</v>
      </c>
      <c r="L23">
        <f t="shared" si="0"/>
        <v>9.5</v>
      </c>
      <c r="M23">
        <f t="shared" si="1"/>
        <v>-4.1499999999999932</v>
      </c>
      <c r="T23">
        <f t="shared" si="2"/>
        <v>10.658246387917156</v>
      </c>
      <c r="U23">
        <f t="shared" si="3"/>
        <v>-4.1499999999999932</v>
      </c>
    </row>
    <row r="24" spans="4:21">
      <c r="E24" t="s">
        <v>22</v>
      </c>
      <c r="F24">
        <f>ASIN(J2*SIN(F23)/J15)</f>
        <v>9.6298079497882508E-2</v>
      </c>
      <c r="G24">
        <f>DEGREES(F24)</f>
        <v>5.5174735304439491</v>
      </c>
      <c r="L24">
        <f t="shared" si="0"/>
        <v>9.5</v>
      </c>
      <c r="M24">
        <f t="shared" si="1"/>
        <v>-4.0999999999999934</v>
      </c>
      <c r="T24">
        <f t="shared" si="2"/>
        <v>10.666611041846227</v>
      </c>
      <c r="U24">
        <f t="shared" si="3"/>
        <v>-4.0999999999999934</v>
      </c>
    </row>
    <row r="25" spans="4:21">
      <c r="L25">
        <f t="shared" si="0"/>
        <v>9.5</v>
      </c>
      <c r="M25">
        <f t="shared" si="1"/>
        <v>-4.0499999999999936</v>
      </c>
      <c r="T25">
        <f t="shared" si="2"/>
        <v>10.67487152122812</v>
      </c>
      <c r="U25">
        <f t="shared" si="3"/>
        <v>-4.0499999999999936</v>
      </c>
    </row>
    <row r="26" spans="4:21">
      <c r="D26" s="28" t="s">
        <v>30</v>
      </c>
      <c r="E26" s="28"/>
      <c r="L26">
        <f t="shared" si="0"/>
        <v>9.5</v>
      </c>
      <c r="M26">
        <f t="shared" si="1"/>
        <v>-3.9999999999999938</v>
      </c>
      <c r="T26">
        <f t="shared" si="2"/>
        <v>10.683027930674353</v>
      </c>
      <c r="U26">
        <f t="shared" si="3"/>
        <v>-3.9999999999999938</v>
      </c>
    </row>
    <row r="27" spans="4:21">
      <c r="D27" s="29" t="s">
        <v>1</v>
      </c>
      <c r="E27" s="29">
        <v>0</v>
      </c>
      <c r="L27">
        <f t="shared" si="0"/>
        <v>9.5</v>
      </c>
      <c r="M27">
        <f t="shared" si="1"/>
        <v>-3.949999999999994</v>
      </c>
      <c r="T27">
        <f t="shared" si="2"/>
        <v>10.691080373341094</v>
      </c>
      <c r="U27">
        <f t="shared" si="3"/>
        <v>-3.949999999999994</v>
      </c>
    </row>
    <row r="28" spans="4:21">
      <c r="D28" s="29" t="s">
        <v>2</v>
      </c>
      <c r="E28" s="29">
        <f>E22-E21*TAN(3.1415-E30)</f>
        <v>2.1775204997416666</v>
      </c>
      <c r="L28">
        <f t="shared" si="0"/>
        <v>9.5</v>
      </c>
      <c r="M28">
        <f t="shared" si="1"/>
        <v>-3.8999999999999941</v>
      </c>
      <c r="T28">
        <f t="shared" si="2"/>
        <v>10.699028950935936</v>
      </c>
      <c r="U28">
        <f t="shared" si="3"/>
        <v>-3.8999999999999941</v>
      </c>
    </row>
    <row r="29" spans="4:21">
      <c r="D29" s="29" t="s">
        <v>3</v>
      </c>
      <c r="E29" s="29">
        <f>DEGREES(E30)</f>
        <v>0.93148813118143048</v>
      </c>
      <c r="L29">
        <f t="shared" si="0"/>
        <v>9.5</v>
      </c>
      <c r="M29">
        <f t="shared" si="1"/>
        <v>-3.8499999999999943</v>
      </c>
      <c r="T29">
        <f t="shared" si="2"/>
        <v>10.706873763724506</v>
      </c>
      <c r="U29">
        <f t="shared" si="3"/>
        <v>-3.8499999999999943</v>
      </c>
    </row>
    <row r="30" spans="4:21">
      <c r="D30" s="29" t="s">
        <v>16</v>
      </c>
      <c r="E30" s="1">
        <f>I20-(I22/ABS(I22))*(F24)</f>
        <v>1.625753483236482E-2</v>
      </c>
      <c r="L30">
        <f t="shared" si="0"/>
        <v>9.5</v>
      </c>
      <c r="M30">
        <f t="shared" si="1"/>
        <v>-3.7999999999999945</v>
      </c>
      <c r="T30">
        <f t="shared" si="2"/>
        <v>10.714614910537023</v>
      </c>
      <c r="U30">
        <f t="shared" si="3"/>
        <v>-3.7999999999999945</v>
      </c>
    </row>
    <row r="31" spans="4:21">
      <c r="D31" s="14" t="s">
        <v>31</v>
      </c>
      <c r="E31">
        <f>-E28/TAN(3.1415-E30)</f>
        <v>133.16827929961636</v>
      </c>
      <c r="L31">
        <f t="shared" si="0"/>
        <v>9.5</v>
      </c>
      <c r="M31">
        <f t="shared" si="1"/>
        <v>-3.7499999999999947</v>
      </c>
      <c r="T31">
        <f t="shared" si="2"/>
        <v>10.722252488774703</v>
      </c>
      <c r="U31">
        <f t="shared" si="3"/>
        <v>-3.7499999999999947</v>
      </c>
    </row>
    <row r="32" spans="4:21">
      <c r="L32">
        <f t="shared" si="0"/>
        <v>9.5</v>
      </c>
      <c r="M32">
        <f t="shared" si="1"/>
        <v>-3.6999999999999948</v>
      </c>
      <c r="T32">
        <f t="shared" si="2"/>
        <v>10.729786594416108</v>
      </c>
      <c r="U32">
        <f t="shared" si="3"/>
        <v>-3.6999999999999948</v>
      </c>
    </row>
    <row r="33" spans="12:21">
      <c r="L33">
        <f t="shared" si="0"/>
        <v>9.5</v>
      </c>
      <c r="M33">
        <f t="shared" si="1"/>
        <v>-3.649999999999995</v>
      </c>
      <c r="T33">
        <f t="shared" si="2"/>
        <v>10.737217322023316</v>
      </c>
      <c r="U33">
        <f t="shared" si="3"/>
        <v>-3.649999999999995</v>
      </c>
    </row>
    <row r="34" spans="12:21">
      <c r="L34">
        <f t="shared" si="0"/>
        <v>9.5</v>
      </c>
      <c r="M34">
        <f t="shared" si="1"/>
        <v>-3.5999999999999952</v>
      </c>
      <c r="T34">
        <f t="shared" si="2"/>
        <v>10.744544764748071</v>
      </c>
      <c r="U34">
        <f t="shared" si="3"/>
        <v>-3.5999999999999952</v>
      </c>
    </row>
    <row r="35" spans="12:21">
      <c r="L35">
        <f t="shared" si="0"/>
        <v>9.5</v>
      </c>
      <c r="M35">
        <f t="shared" si="1"/>
        <v>-3.5499999999999954</v>
      </c>
      <c r="T35">
        <f t="shared" si="2"/>
        <v>10.751769014337761</v>
      </c>
      <c r="U35">
        <f t="shared" si="3"/>
        <v>-3.5499999999999954</v>
      </c>
    </row>
    <row r="36" spans="12:21">
      <c r="L36">
        <f t="shared" si="0"/>
        <v>9.5</v>
      </c>
      <c r="M36">
        <f t="shared" si="1"/>
        <v>-3.4999999999999956</v>
      </c>
      <c r="T36">
        <f t="shared" si="2"/>
        <v>10.758890161141345</v>
      </c>
      <c r="U36">
        <f t="shared" si="3"/>
        <v>-3.4999999999999956</v>
      </c>
    </row>
    <row r="37" spans="12:21">
      <c r="L37">
        <f t="shared" si="0"/>
        <v>9.5</v>
      </c>
      <c r="M37">
        <f t="shared" si="1"/>
        <v>-3.4499999999999957</v>
      </c>
      <c r="T37">
        <f t="shared" si="2"/>
        <v>10.765908294115153</v>
      </c>
      <c r="U37">
        <f t="shared" si="3"/>
        <v>-3.4499999999999957</v>
      </c>
    </row>
    <row r="38" spans="12:21">
      <c r="L38">
        <f t="shared" si="0"/>
        <v>9.5</v>
      </c>
      <c r="M38">
        <f t="shared" si="1"/>
        <v>-3.3999999999999959</v>
      </c>
      <c r="T38">
        <f t="shared" si="2"/>
        <v>10.772823500828572</v>
      </c>
      <c r="U38">
        <f t="shared" si="3"/>
        <v>-3.3999999999999959</v>
      </c>
    </row>
    <row r="39" spans="12:21">
      <c r="L39">
        <f t="shared" si="0"/>
        <v>9.5</v>
      </c>
      <c r="M39">
        <f t="shared" si="1"/>
        <v>-3.3499999999999961</v>
      </c>
      <c r="T39">
        <f t="shared" si="2"/>
        <v>10.779635867469668</v>
      </c>
      <c r="U39">
        <f t="shared" si="3"/>
        <v>-3.3499999999999961</v>
      </c>
    </row>
    <row r="40" spans="12:21">
      <c r="L40">
        <f t="shared" si="0"/>
        <v>9.5</v>
      </c>
      <c r="M40">
        <f t="shared" si="1"/>
        <v>-3.2999999999999963</v>
      </c>
      <c r="T40">
        <f t="shared" si="2"/>
        <v>10.786345478850684</v>
      </c>
      <c r="U40">
        <f t="shared" si="3"/>
        <v>-3.2999999999999963</v>
      </c>
    </row>
    <row r="41" spans="12:21">
      <c r="L41">
        <f t="shared" si="0"/>
        <v>9.5</v>
      </c>
      <c r="M41">
        <f t="shared" si="1"/>
        <v>-3.2499999999999964</v>
      </c>
      <c r="T41">
        <f t="shared" si="2"/>
        <v>10.792952418413456</v>
      </c>
      <c r="U41">
        <f t="shared" si="3"/>
        <v>-3.2499999999999964</v>
      </c>
    </row>
    <row r="42" spans="12:21">
      <c r="L42">
        <f t="shared" si="0"/>
        <v>9.5</v>
      </c>
      <c r="M42">
        <f t="shared" si="1"/>
        <v>-3.1999999999999966</v>
      </c>
      <c r="T42">
        <f t="shared" si="2"/>
        <v>10.799456768234709</v>
      </c>
      <c r="U42">
        <f t="shared" si="3"/>
        <v>-3.1999999999999966</v>
      </c>
    </row>
    <row r="43" spans="12:21">
      <c r="L43">
        <f t="shared" si="0"/>
        <v>9.5</v>
      </c>
      <c r="M43">
        <f t="shared" si="1"/>
        <v>-3.1499999999999968</v>
      </c>
      <c r="T43">
        <f t="shared" si="2"/>
        <v>10.80585860903129</v>
      </c>
      <c r="U43">
        <f t="shared" si="3"/>
        <v>-3.1499999999999968</v>
      </c>
    </row>
    <row r="44" spans="12:21">
      <c r="L44">
        <f t="shared" si="0"/>
        <v>9.5</v>
      </c>
      <c r="M44">
        <f t="shared" si="1"/>
        <v>-3.099999999999997</v>
      </c>
      <c r="T44">
        <f t="shared" si="2"/>
        <v>10.812158020165267</v>
      </c>
      <c r="U44">
        <f t="shared" si="3"/>
        <v>-3.099999999999997</v>
      </c>
    </row>
    <row r="45" spans="12:21">
      <c r="L45">
        <f t="shared" si="0"/>
        <v>9.5</v>
      </c>
      <c r="M45">
        <f t="shared" si="1"/>
        <v>-3.0499999999999972</v>
      </c>
      <c r="T45">
        <f t="shared" si="2"/>
        <v>10.818355079648974</v>
      </c>
      <c r="U45">
        <f t="shared" si="3"/>
        <v>-3.0499999999999972</v>
      </c>
    </row>
    <row r="46" spans="12:21">
      <c r="L46">
        <f t="shared" si="0"/>
        <v>9.5</v>
      </c>
      <c r="M46">
        <f t="shared" si="1"/>
        <v>-2.9999999999999973</v>
      </c>
      <c r="T46">
        <f t="shared" si="2"/>
        <v>10.824449864149933</v>
      </c>
      <c r="U46">
        <f t="shared" si="3"/>
        <v>-2.9999999999999973</v>
      </c>
    </row>
    <row r="47" spans="12:21">
      <c r="L47">
        <f t="shared" si="0"/>
        <v>9.5</v>
      </c>
      <c r="M47">
        <f t="shared" si="1"/>
        <v>-2.9499999999999975</v>
      </c>
      <c r="T47">
        <f t="shared" si="2"/>
        <v>10.830442448995687</v>
      </c>
      <c r="U47">
        <f t="shared" si="3"/>
        <v>-2.9499999999999975</v>
      </c>
    </row>
    <row r="48" spans="12:21">
      <c r="L48">
        <f t="shared" si="0"/>
        <v>9.5</v>
      </c>
      <c r="M48">
        <f t="shared" si="1"/>
        <v>-2.8999999999999977</v>
      </c>
      <c r="T48">
        <f t="shared" si="2"/>
        <v>10.836332908178555</v>
      </c>
      <c r="U48">
        <f t="shared" si="3"/>
        <v>-2.8999999999999977</v>
      </c>
    </row>
    <row r="49" spans="12:21">
      <c r="L49">
        <f t="shared" si="0"/>
        <v>9.5</v>
      </c>
      <c r="M49">
        <f t="shared" si="1"/>
        <v>-2.8499999999999979</v>
      </c>
      <c r="T49">
        <f t="shared" si="2"/>
        <v>10.842121314360288</v>
      </c>
      <c r="U49">
        <f t="shared" si="3"/>
        <v>-2.8499999999999979</v>
      </c>
    </row>
    <row r="50" spans="12:21">
      <c r="L50">
        <f t="shared" si="0"/>
        <v>9.5</v>
      </c>
      <c r="M50">
        <f t="shared" si="1"/>
        <v>-2.799999999999998</v>
      </c>
      <c r="T50">
        <f t="shared" si="2"/>
        <v>10.847807738876615</v>
      </c>
      <c r="U50">
        <f t="shared" si="3"/>
        <v>-2.799999999999998</v>
      </c>
    </row>
    <row r="51" spans="12:21">
      <c r="L51">
        <f t="shared" si="0"/>
        <v>9.5</v>
      </c>
      <c r="M51">
        <f t="shared" si="1"/>
        <v>-2.7499999999999982</v>
      </c>
      <c r="T51">
        <f t="shared" si="2"/>
        <v>10.853392251741742</v>
      </c>
      <c r="U51">
        <f t="shared" si="3"/>
        <v>-2.7499999999999982</v>
      </c>
    </row>
    <row r="52" spans="12:21">
      <c r="L52">
        <f t="shared" si="0"/>
        <v>9.5</v>
      </c>
      <c r="M52">
        <f t="shared" si="1"/>
        <v>-2.6999999999999984</v>
      </c>
      <c r="T52">
        <f t="shared" si="2"/>
        <v>10.858874921652713</v>
      </c>
      <c r="U52">
        <f t="shared" si="3"/>
        <v>-2.6999999999999984</v>
      </c>
    </row>
    <row r="53" spans="12:21">
      <c r="L53">
        <f t="shared" si="0"/>
        <v>9.5</v>
      </c>
      <c r="M53">
        <f t="shared" si="1"/>
        <v>-2.6499999999999986</v>
      </c>
      <c r="T53">
        <f t="shared" si="2"/>
        <v>10.864255815993722</v>
      </c>
      <c r="U53">
        <f t="shared" si="3"/>
        <v>-2.6499999999999986</v>
      </c>
    </row>
    <row r="54" spans="12:21">
      <c r="L54">
        <f t="shared" si="0"/>
        <v>9.5</v>
      </c>
      <c r="M54">
        <f t="shared" si="1"/>
        <v>-2.5999999999999988</v>
      </c>
      <c r="T54">
        <f t="shared" si="2"/>
        <v>10.869535000840305</v>
      </c>
      <c r="U54">
        <f t="shared" si="3"/>
        <v>-2.5999999999999988</v>
      </c>
    </row>
    <row r="55" spans="12:21">
      <c r="L55">
        <f t="shared" si="0"/>
        <v>9.5</v>
      </c>
      <c r="M55">
        <f t="shared" si="1"/>
        <v>-2.5499999999999989</v>
      </c>
      <c r="T55">
        <f t="shared" si="2"/>
        <v>10.874712540963468</v>
      </c>
      <c r="U55">
        <f t="shared" si="3"/>
        <v>-2.5499999999999989</v>
      </c>
    </row>
    <row r="56" spans="12:21">
      <c r="L56">
        <f t="shared" si="0"/>
        <v>9.5</v>
      </c>
      <c r="M56">
        <f t="shared" si="1"/>
        <v>-2.4999999999999991</v>
      </c>
      <c r="T56">
        <f t="shared" si="2"/>
        <v>10.879788499833719</v>
      </c>
      <c r="U56">
        <f t="shared" si="3"/>
        <v>-2.4999999999999991</v>
      </c>
    </row>
    <row r="57" spans="12:21">
      <c r="L57">
        <f t="shared" si="0"/>
        <v>9.5</v>
      </c>
      <c r="M57">
        <f t="shared" si="1"/>
        <v>-2.4499999999999993</v>
      </c>
      <c r="T57">
        <f t="shared" si="2"/>
        <v>10.884762939625009</v>
      </c>
      <c r="U57">
        <f t="shared" si="3"/>
        <v>-2.4499999999999993</v>
      </c>
    </row>
    <row r="58" spans="12:21">
      <c r="L58">
        <f t="shared" si="0"/>
        <v>9.5</v>
      </c>
      <c r="M58">
        <f t="shared" si="1"/>
        <v>-2.3999999999999995</v>
      </c>
      <c r="T58">
        <f t="shared" si="2"/>
        <v>10.889635921218588</v>
      </c>
      <c r="U58">
        <f t="shared" si="3"/>
        <v>-2.3999999999999995</v>
      </c>
    </row>
    <row r="59" spans="12:21">
      <c r="L59">
        <f t="shared" si="0"/>
        <v>9.5</v>
      </c>
      <c r="M59">
        <f t="shared" si="1"/>
        <v>-2.3499999999999996</v>
      </c>
      <c r="T59">
        <f t="shared" si="2"/>
        <v>10.8944075042068</v>
      </c>
      <c r="U59">
        <f t="shared" si="3"/>
        <v>-2.3499999999999996</v>
      </c>
    </row>
    <row r="60" spans="12:21">
      <c r="L60">
        <f t="shared" si="0"/>
        <v>9.5</v>
      </c>
      <c r="M60">
        <f t="shared" si="1"/>
        <v>-2.2999999999999998</v>
      </c>
      <c r="T60">
        <f t="shared" si="2"/>
        <v>10.899077746896744</v>
      </c>
      <c r="U60">
        <f t="shared" si="3"/>
        <v>-2.2999999999999998</v>
      </c>
    </row>
    <row r="61" spans="12:21">
      <c r="L61">
        <f t="shared" si="0"/>
        <v>9.5</v>
      </c>
      <c r="M61">
        <f t="shared" si="1"/>
        <v>-2.25</v>
      </c>
      <c r="T61">
        <f t="shared" si="2"/>
        <v>10.903646706313893</v>
      </c>
      <c r="U61">
        <f t="shared" si="3"/>
        <v>-2.25</v>
      </c>
    </row>
    <row r="62" spans="12:21">
      <c r="L62">
        <f t="shared" si="0"/>
        <v>9.5</v>
      </c>
      <c r="M62">
        <f t="shared" si="1"/>
        <v>-2.2000000000000002</v>
      </c>
      <c r="T62">
        <f t="shared" si="2"/>
        <v>10.908114438205629</v>
      </c>
      <c r="U62">
        <f t="shared" si="3"/>
        <v>-2.2000000000000002</v>
      </c>
    </row>
    <row r="63" spans="12:21">
      <c r="L63">
        <f t="shared" si="0"/>
        <v>9.5</v>
      </c>
      <c r="M63">
        <f t="shared" si="1"/>
        <v>-2.1500000000000004</v>
      </c>
      <c r="T63">
        <f t="shared" si="2"/>
        <v>10.912480997044653</v>
      </c>
      <c r="U63">
        <f t="shared" si="3"/>
        <v>-2.1500000000000004</v>
      </c>
    </row>
    <row r="64" spans="12:21">
      <c r="L64">
        <f t="shared" si="0"/>
        <v>9.5</v>
      </c>
      <c r="M64">
        <f t="shared" si="1"/>
        <v>-2.1000000000000005</v>
      </c>
      <c r="T64">
        <f t="shared" si="2"/>
        <v>10.916746436032362</v>
      </c>
      <c r="U64">
        <f t="shared" si="3"/>
        <v>-2.1000000000000005</v>
      </c>
    </row>
    <row r="65" spans="12:21">
      <c r="L65">
        <f t="shared" si="0"/>
        <v>9.5</v>
      </c>
      <c r="M65">
        <f t="shared" si="1"/>
        <v>-2.0500000000000007</v>
      </c>
      <c r="T65">
        <f t="shared" si="2"/>
        <v>10.920910807102121</v>
      </c>
      <c r="U65">
        <f t="shared" si="3"/>
        <v>-2.0500000000000007</v>
      </c>
    </row>
    <row r="66" spans="12:21">
      <c r="L66">
        <f t="shared" si="0"/>
        <v>9.5</v>
      </c>
      <c r="M66">
        <f t="shared" si="1"/>
        <v>-2.0000000000000009</v>
      </c>
      <c r="T66">
        <f t="shared" si="2"/>
        <v>10.924974160922442</v>
      </c>
      <c r="U66">
        <f t="shared" si="3"/>
        <v>-2.0000000000000009</v>
      </c>
    </row>
    <row r="67" spans="12:21">
      <c r="L67">
        <f t="shared" si="0"/>
        <v>9.5</v>
      </c>
      <c r="M67">
        <f t="shared" si="1"/>
        <v>-1.9500000000000011</v>
      </c>
      <c r="T67">
        <f t="shared" si="2"/>
        <v>10.928936546900115</v>
      </c>
      <c r="U67">
        <f t="shared" si="3"/>
        <v>-1.9500000000000011</v>
      </c>
    </row>
    <row r="68" spans="12:21">
      <c r="L68">
        <f t="shared" si="0"/>
        <v>9.5</v>
      </c>
      <c r="M68">
        <f t="shared" si="1"/>
        <v>-1.900000000000001</v>
      </c>
      <c r="T68">
        <f t="shared" si="2"/>
        <v>10.93279801318322</v>
      </c>
      <c r="U68">
        <f t="shared" si="3"/>
        <v>-1.900000000000001</v>
      </c>
    </row>
    <row r="69" spans="12:21">
      <c r="L69">
        <f t="shared" si="0"/>
        <v>9.5</v>
      </c>
      <c r="M69">
        <f t="shared" ref="M69:M104" si="4">M70-0.05</f>
        <v>-1.850000000000001</v>
      </c>
      <c r="T69">
        <f t="shared" si="2"/>
        <v>10.936558606664079</v>
      </c>
      <c r="U69">
        <f t="shared" ref="U69:U104" si="5">U70-0.05</f>
        <v>-1.850000000000001</v>
      </c>
    </row>
    <row r="70" spans="12:21">
      <c r="L70">
        <f t="shared" ref="L70:L105" si="6">$G$4-($G$2/ABS($G$2))*SQRT($G$2*$G$2-(M70)^2)</f>
        <v>9.5</v>
      </c>
      <c r="M70">
        <f t="shared" si="4"/>
        <v>-1.8000000000000009</v>
      </c>
      <c r="T70">
        <f t="shared" ref="T70:T105" si="7">$G$17+($G$15/ABS($G$15))*SQRT($G$15*$G$15-(U70)^2)</f>
        <v>10.940218372982137</v>
      </c>
      <c r="U70">
        <f t="shared" si="5"/>
        <v>-1.8000000000000009</v>
      </c>
    </row>
    <row r="71" spans="12:21">
      <c r="L71">
        <f t="shared" si="6"/>
        <v>9.5</v>
      </c>
      <c r="M71">
        <f t="shared" si="4"/>
        <v>-1.7500000000000009</v>
      </c>
      <c r="T71">
        <f t="shared" si="7"/>
        <v>10.943777356526748</v>
      </c>
      <c r="U71">
        <f t="shared" si="5"/>
        <v>-1.7500000000000009</v>
      </c>
    </row>
    <row r="72" spans="12:21">
      <c r="L72">
        <f t="shared" si="6"/>
        <v>9.5</v>
      </c>
      <c r="M72">
        <f t="shared" si="4"/>
        <v>-1.7000000000000008</v>
      </c>
      <c r="T72">
        <f t="shared" si="7"/>
        <v>10.947235600439878</v>
      </c>
      <c r="U72">
        <f t="shared" si="5"/>
        <v>-1.7000000000000008</v>
      </c>
    </row>
    <row r="73" spans="12:21">
      <c r="L73">
        <f t="shared" si="6"/>
        <v>9.5</v>
      </c>
      <c r="M73">
        <f t="shared" si="4"/>
        <v>-1.6500000000000008</v>
      </c>
      <c r="T73">
        <f t="shared" si="7"/>
        <v>10.950593146618747</v>
      </c>
      <c r="U73">
        <f t="shared" si="5"/>
        <v>-1.6500000000000008</v>
      </c>
    </row>
    <row r="74" spans="12:21">
      <c r="L74">
        <f t="shared" si="6"/>
        <v>9.5</v>
      </c>
      <c r="M74">
        <f t="shared" si="4"/>
        <v>-1.6000000000000008</v>
      </c>
      <c r="T74">
        <f t="shared" si="7"/>
        <v>10.953850035718368</v>
      </c>
      <c r="U74">
        <f t="shared" si="5"/>
        <v>-1.6000000000000008</v>
      </c>
    </row>
    <row r="75" spans="12:21">
      <c r="L75">
        <f t="shared" si="6"/>
        <v>9.5</v>
      </c>
      <c r="M75">
        <f t="shared" si="4"/>
        <v>-1.5500000000000007</v>
      </c>
      <c r="T75">
        <f t="shared" si="7"/>
        <v>10.957006307154053</v>
      </c>
      <c r="U75">
        <f t="shared" si="5"/>
        <v>-1.5500000000000007</v>
      </c>
    </row>
    <row r="76" spans="12:21">
      <c r="L76">
        <f t="shared" si="6"/>
        <v>9.5</v>
      </c>
      <c r="M76">
        <f t="shared" si="4"/>
        <v>-1.5000000000000007</v>
      </c>
      <c r="T76">
        <f t="shared" si="7"/>
        <v>10.960061999103779</v>
      </c>
      <c r="U76">
        <f t="shared" si="5"/>
        <v>-1.5000000000000007</v>
      </c>
    </row>
    <row r="77" spans="12:21">
      <c r="L77">
        <f t="shared" si="6"/>
        <v>9.5</v>
      </c>
      <c r="M77">
        <f t="shared" si="4"/>
        <v>-1.4500000000000006</v>
      </c>
      <c r="T77">
        <f t="shared" si="7"/>
        <v>10.963017148510531</v>
      </c>
      <c r="U77">
        <f t="shared" si="5"/>
        <v>-1.4500000000000006</v>
      </c>
    </row>
    <row r="78" spans="12:21">
      <c r="L78">
        <f t="shared" si="6"/>
        <v>9.5</v>
      </c>
      <c r="M78">
        <f t="shared" si="4"/>
        <v>-1.4000000000000006</v>
      </c>
      <c r="T78">
        <f t="shared" si="7"/>
        <v>10.965871791084531</v>
      </c>
      <c r="U78">
        <f t="shared" si="5"/>
        <v>-1.4000000000000006</v>
      </c>
    </row>
    <row r="79" spans="12:21">
      <c r="L79">
        <f t="shared" si="6"/>
        <v>9.5</v>
      </c>
      <c r="M79">
        <f t="shared" si="4"/>
        <v>-1.3500000000000005</v>
      </c>
      <c r="T79">
        <f t="shared" si="7"/>
        <v>10.96862596130542</v>
      </c>
      <c r="U79">
        <f t="shared" si="5"/>
        <v>-1.3500000000000005</v>
      </c>
    </row>
    <row r="80" spans="12:21">
      <c r="L80">
        <f t="shared" si="6"/>
        <v>9.5</v>
      </c>
      <c r="M80">
        <f t="shared" si="4"/>
        <v>-1.3000000000000005</v>
      </c>
      <c r="T80">
        <f t="shared" si="7"/>
        <v>10.971279692424336</v>
      </c>
      <c r="U80">
        <f t="shared" si="5"/>
        <v>-1.3000000000000005</v>
      </c>
    </row>
    <row r="81" spans="12:21">
      <c r="L81">
        <f t="shared" si="6"/>
        <v>9.5</v>
      </c>
      <c r="M81">
        <f t="shared" si="4"/>
        <v>-1.2500000000000004</v>
      </c>
      <c r="T81">
        <f t="shared" si="7"/>
        <v>10.973833016465942</v>
      </c>
      <c r="U81">
        <f t="shared" si="5"/>
        <v>-1.2500000000000004</v>
      </c>
    </row>
    <row r="82" spans="12:21">
      <c r="L82">
        <f t="shared" si="6"/>
        <v>9.5</v>
      </c>
      <c r="M82">
        <f t="shared" si="4"/>
        <v>-1.2000000000000004</v>
      </c>
      <c r="T82">
        <f t="shared" si="7"/>
        <v>10.976285964230357</v>
      </c>
      <c r="U82">
        <f t="shared" si="5"/>
        <v>-1.2000000000000004</v>
      </c>
    </row>
    <row r="83" spans="12:21">
      <c r="L83">
        <f t="shared" si="6"/>
        <v>9.5</v>
      </c>
      <c r="M83">
        <f t="shared" si="4"/>
        <v>-1.1500000000000004</v>
      </c>
      <c r="T83">
        <f t="shared" si="7"/>
        <v>10.978638565295025</v>
      </c>
      <c r="U83">
        <f t="shared" si="5"/>
        <v>-1.1500000000000004</v>
      </c>
    </row>
    <row r="84" spans="12:21">
      <c r="L84">
        <f t="shared" si="6"/>
        <v>9.5</v>
      </c>
      <c r="M84">
        <f t="shared" si="4"/>
        <v>-1.1000000000000003</v>
      </c>
      <c r="T84">
        <f t="shared" si="7"/>
        <v>10.98089084801649</v>
      </c>
      <c r="U84">
        <f t="shared" si="5"/>
        <v>-1.1000000000000003</v>
      </c>
    </row>
    <row r="85" spans="12:21">
      <c r="L85">
        <f t="shared" si="6"/>
        <v>9.5</v>
      </c>
      <c r="M85">
        <f t="shared" si="4"/>
        <v>-1.0500000000000003</v>
      </c>
      <c r="T85">
        <f t="shared" si="7"/>
        <v>10.983042839532139</v>
      </c>
      <c r="U85">
        <f t="shared" si="5"/>
        <v>-1.0500000000000003</v>
      </c>
    </row>
    <row r="86" spans="12:21">
      <c r="L86">
        <f t="shared" si="6"/>
        <v>9.5</v>
      </c>
      <c r="M86">
        <f t="shared" si="4"/>
        <v>-1.0000000000000002</v>
      </c>
      <c r="T86">
        <f t="shared" si="7"/>
        <v>10.985094565761813</v>
      </c>
      <c r="U86">
        <f t="shared" si="5"/>
        <v>-1.0000000000000002</v>
      </c>
    </row>
    <row r="87" spans="12:21">
      <c r="L87">
        <f t="shared" si="6"/>
        <v>9.5</v>
      </c>
      <c r="M87">
        <f t="shared" si="4"/>
        <v>-0.95000000000000029</v>
      </c>
      <c r="T87">
        <f t="shared" si="7"/>
        <v>10.987046051409379</v>
      </c>
      <c r="U87">
        <f t="shared" si="5"/>
        <v>-0.95000000000000029</v>
      </c>
    </row>
    <row r="88" spans="12:21">
      <c r="L88">
        <f t="shared" si="6"/>
        <v>9.5</v>
      </c>
      <c r="M88">
        <f t="shared" si="4"/>
        <v>-0.90000000000000024</v>
      </c>
      <c r="T88">
        <f t="shared" si="7"/>
        <v>10.988897319964241</v>
      </c>
      <c r="U88">
        <f t="shared" si="5"/>
        <v>-0.90000000000000024</v>
      </c>
    </row>
    <row r="89" spans="12:21">
      <c r="L89">
        <f t="shared" si="6"/>
        <v>9.5</v>
      </c>
      <c r="M89">
        <f t="shared" si="4"/>
        <v>-0.8500000000000002</v>
      </c>
      <c r="T89">
        <f t="shared" si="7"/>
        <v>10.990648393702717</v>
      </c>
      <c r="U89">
        <f t="shared" si="5"/>
        <v>-0.8500000000000002</v>
      </c>
    </row>
    <row r="90" spans="12:21">
      <c r="L90">
        <f t="shared" si="6"/>
        <v>9.5</v>
      </c>
      <c r="M90">
        <f t="shared" si="4"/>
        <v>-0.80000000000000016</v>
      </c>
      <c r="T90">
        <f t="shared" si="7"/>
        <v>10.992299293689424</v>
      </c>
      <c r="U90">
        <f t="shared" si="5"/>
        <v>-0.80000000000000016</v>
      </c>
    </row>
    <row r="91" spans="12:21">
      <c r="L91">
        <f t="shared" si="6"/>
        <v>9.5</v>
      </c>
      <c r="M91">
        <f t="shared" si="4"/>
        <v>-0.75000000000000011</v>
      </c>
      <c r="T91">
        <f t="shared" si="7"/>
        <v>10.993850039778515</v>
      </c>
      <c r="U91">
        <f t="shared" si="5"/>
        <v>-0.75000000000000011</v>
      </c>
    </row>
    <row r="92" spans="12:21">
      <c r="L92">
        <f t="shared" si="6"/>
        <v>9.5</v>
      </c>
      <c r="M92">
        <f t="shared" si="4"/>
        <v>-0.70000000000000007</v>
      </c>
      <c r="T92">
        <f t="shared" si="7"/>
        <v>10.995300650614897</v>
      </c>
      <c r="U92">
        <f t="shared" si="5"/>
        <v>-0.70000000000000007</v>
      </c>
    </row>
    <row r="93" spans="12:21">
      <c r="L93">
        <f t="shared" si="6"/>
        <v>9.5</v>
      </c>
      <c r="M93">
        <f t="shared" si="4"/>
        <v>-0.65</v>
      </c>
      <c r="T93">
        <f t="shared" si="7"/>
        <v>10.996651143635333</v>
      </c>
      <c r="U93">
        <f t="shared" si="5"/>
        <v>-0.65</v>
      </c>
    </row>
    <row r="94" spans="12:21">
      <c r="L94">
        <f t="shared" si="6"/>
        <v>9.5</v>
      </c>
      <c r="M94">
        <f t="shared" si="4"/>
        <v>-0.6</v>
      </c>
      <c r="T94">
        <f t="shared" si="7"/>
        <v>10.997901535069513</v>
      </c>
      <c r="U94">
        <f t="shared" si="5"/>
        <v>-0.6</v>
      </c>
    </row>
    <row r="95" spans="12:21">
      <c r="L95">
        <f t="shared" si="6"/>
        <v>9.5</v>
      </c>
      <c r="M95">
        <f t="shared" si="4"/>
        <v>-0.54999999999999993</v>
      </c>
      <c r="T95">
        <f t="shared" si="7"/>
        <v>10.999051839941011</v>
      </c>
      <c r="U95">
        <f t="shared" si="5"/>
        <v>-0.54999999999999993</v>
      </c>
    </row>
    <row r="96" spans="12:21">
      <c r="L96">
        <f t="shared" si="6"/>
        <v>9.5</v>
      </c>
      <c r="M96">
        <f t="shared" si="4"/>
        <v>-0.49999999999999994</v>
      </c>
      <c r="T96">
        <f t="shared" si="7"/>
        <v>11.000102072068195</v>
      </c>
      <c r="U96">
        <f t="shared" si="5"/>
        <v>-0.49999999999999994</v>
      </c>
    </row>
    <row r="97" spans="12:21">
      <c r="L97">
        <f t="shared" si="6"/>
        <v>9.5</v>
      </c>
      <c r="M97">
        <f t="shared" si="4"/>
        <v>-0.44999999999999996</v>
      </c>
      <c r="T97">
        <f t="shared" si="7"/>
        <v>11.001052244065065</v>
      </c>
      <c r="U97">
        <f t="shared" si="5"/>
        <v>-0.44999999999999996</v>
      </c>
    </row>
    <row r="98" spans="12:21">
      <c r="L98">
        <f t="shared" si="6"/>
        <v>9.5</v>
      </c>
      <c r="M98">
        <f t="shared" si="4"/>
        <v>-0.39999999999999997</v>
      </c>
      <c r="T98">
        <f t="shared" si="7"/>
        <v>11.001902367342002</v>
      </c>
      <c r="U98">
        <f t="shared" si="5"/>
        <v>-0.39999999999999997</v>
      </c>
    </row>
    <row r="99" spans="12:21">
      <c r="L99">
        <f t="shared" si="6"/>
        <v>9.5</v>
      </c>
      <c r="M99">
        <f t="shared" si="4"/>
        <v>-0.35</v>
      </c>
      <c r="T99">
        <f t="shared" si="7"/>
        <v>11.002652452106453</v>
      </c>
      <c r="U99">
        <f t="shared" si="5"/>
        <v>-0.35</v>
      </c>
    </row>
    <row r="100" spans="12:21">
      <c r="L100">
        <f t="shared" si="6"/>
        <v>9.5</v>
      </c>
      <c r="M100">
        <f t="shared" si="4"/>
        <v>-0.3</v>
      </c>
      <c r="T100">
        <f t="shared" si="7"/>
        <v>11.003302507363554</v>
      </c>
      <c r="U100">
        <f t="shared" si="5"/>
        <v>-0.3</v>
      </c>
    </row>
    <row r="101" spans="12:21">
      <c r="L101">
        <f t="shared" si="6"/>
        <v>9.5</v>
      </c>
      <c r="M101">
        <f t="shared" si="4"/>
        <v>-0.25</v>
      </c>
      <c r="T101">
        <f t="shared" si="7"/>
        <v>11.003852540916657</v>
      </c>
      <c r="U101">
        <f t="shared" si="5"/>
        <v>-0.25</v>
      </c>
    </row>
    <row r="102" spans="12:21">
      <c r="L102">
        <f t="shared" si="6"/>
        <v>9.5</v>
      </c>
      <c r="M102">
        <f t="shared" si="4"/>
        <v>-0.2</v>
      </c>
      <c r="T102">
        <f t="shared" si="7"/>
        <v>11.004302559367812</v>
      </c>
      <c r="U102">
        <f t="shared" si="5"/>
        <v>-0.2</v>
      </c>
    </row>
    <row r="103" spans="12:21">
      <c r="L103">
        <f t="shared" si="6"/>
        <v>9.5</v>
      </c>
      <c r="M103">
        <f t="shared" si="4"/>
        <v>-0.15000000000000002</v>
      </c>
      <c r="T103">
        <f t="shared" si="7"/>
        <v>11.004652568118146</v>
      </c>
      <c r="U103">
        <f t="shared" si="5"/>
        <v>-0.15000000000000002</v>
      </c>
    </row>
    <row r="104" spans="12:21">
      <c r="L104">
        <f t="shared" si="6"/>
        <v>9.5</v>
      </c>
      <c r="M104">
        <f t="shared" si="4"/>
        <v>-0.1</v>
      </c>
      <c r="T104">
        <f t="shared" si="7"/>
        <v>11.004902571368213</v>
      </c>
      <c r="U104">
        <f t="shared" si="5"/>
        <v>-0.1</v>
      </c>
    </row>
    <row r="105" spans="12:21">
      <c r="L105">
        <f t="shared" si="6"/>
        <v>9.5</v>
      </c>
      <c r="M105">
        <f>M106-0.05</f>
        <v>-0.05</v>
      </c>
      <c r="T105">
        <f t="shared" si="7"/>
        <v>11.005052572118217</v>
      </c>
      <c r="U105">
        <f>U106-0.05</f>
        <v>-0.05</v>
      </c>
    </row>
    <row r="106" spans="12:21">
      <c r="L106">
        <f>$G$4-($G$2/ABS($G$2))*SQRT($G$2*$G$2-(M106)^2)</f>
        <v>9.5</v>
      </c>
      <c r="M106">
        <f>0</f>
        <v>0</v>
      </c>
      <c r="T106">
        <f>$G$17+($G$15/ABS($G$15))*SQRT($G$15*$G$15-(U106)^2)</f>
        <v>11.005102572168219</v>
      </c>
      <c r="U106">
        <v>0</v>
      </c>
    </row>
    <row r="107" spans="12:21">
      <c r="L107">
        <f t="shared" ref="L107:L170" si="8">$G$4-($G$2/ABS($G$2))*SQRT($G$2*$G$2-(M107)^2)</f>
        <v>9.5</v>
      </c>
      <c r="M107">
        <f>M106+0.05</f>
        <v>0.05</v>
      </c>
      <c r="T107">
        <f t="shared" ref="T107:T170" si="9">$G$17+($G$15/ABS($G$15))*SQRT($G$15*$G$15-(U107)^2)</f>
        <v>11.005052572118217</v>
      </c>
      <c r="U107">
        <f>U106+0.05</f>
        <v>0.05</v>
      </c>
    </row>
    <row r="108" spans="12:21">
      <c r="L108">
        <f t="shared" si="8"/>
        <v>9.5</v>
      </c>
      <c r="M108">
        <f t="shared" ref="M108:M171" si="10">M107+0.05</f>
        <v>0.1</v>
      </c>
      <c r="T108">
        <f t="shared" si="9"/>
        <v>11.004902571368213</v>
      </c>
      <c r="U108">
        <f t="shared" ref="U108:U171" si="11">U107+0.05</f>
        <v>0.1</v>
      </c>
    </row>
    <row r="109" spans="12:21">
      <c r="L109">
        <f t="shared" si="8"/>
        <v>9.5</v>
      </c>
      <c r="M109">
        <f t="shared" si="10"/>
        <v>0.15000000000000002</v>
      </c>
      <c r="T109">
        <f t="shared" si="9"/>
        <v>11.004652568118146</v>
      </c>
      <c r="U109">
        <f t="shared" si="11"/>
        <v>0.15000000000000002</v>
      </c>
    </row>
    <row r="110" spans="12:21">
      <c r="L110">
        <f t="shared" si="8"/>
        <v>9.5</v>
      </c>
      <c r="M110">
        <f t="shared" si="10"/>
        <v>0.2</v>
      </c>
      <c r="T110">
        <f t="shared" si="9"/>
        <v>11.004302559367812</v>
      </c>
      <c r="U110">
        <f t="shared" si="11"/>
        <v>0.2</v>
      </c>
    </row>
    <row r="111" spans="12:21">
      <c r="L111">
        <f t="shared" si="8"/>
        <v>9.5</v>
      </c>
      <c r="M111">
        <f t="shared" si="10"/>
        <v>0.25</v>
      </c>
      <c r="T111">
        <f t="shared" si="9"/>
        <v>11.003852540916657</v>
      </c>
      <c r="U111">
        <f t="shared" si="11"/>
        <v>0.25</v>
      </c>
    </row>
    <row r="112" spans="12:21">
      <c r="L112">
        <f t="shared" si="8"/>
        <v>9.5</v>
      </c>
      <c r="M112">
        <f t="shared" si="10"/>
        <v>0.3</v>
      </c>
      <c r="T112">
        <f t="shared" si="9"/>
        <v>11.003302507363554</v>
      </c>
      <c r="U112">
        <f t="shared" si="11"/>
        <v>0.3</v>
      </c>
    </row>
    <row r="113" spans="12:21">
      <c r="L113">
        <f t="shared" si="8"/>
        <v>9.5</v>
      </c>
      <c r="M113">
        <f t="shared" si="10"/>
        <v>0.35</v>
      </c>
      <c r="T113">
        <f t="shared" si="9"/>
        <v>11.002652452106453</v>
      </c>
      <c r="U113">
        <f t="shared" si="11"/>
        <v>0.35</v>
      </c>
    </row>
    <row r="114" spans="12:21">
      <c r="L114">
        <f t="shared" si="8"/>
        <v>9.5</v>
      </c>
      <c r="M114">
        <f t="shared" si="10"/>
        <v>0.39999999999999997</v>
      </c>
      <c r="T114">
        <f t="shared" si="9"/>
        <v>11.001902367342002</v>
      </c>
      <c r="U114">
        <f t="shared" si="11"/>
        <v>0.39999999999999997</v>
      </c>
    </row>
    <row r="115" spans="12:21">
      <c r="L115">
        <f t="shared" si="8"/>
        <v>9.5</v>
      </c>
      <c r="M115">
        <f t="shared" si="10"/>
        <v>0.44999999999999996</v>
      </c>
      <c r="T115">
        <f t="shared" si="9"/>
        <v>11.001052244065065</v>
      </c>
      <c r="U115">
        <f t="shared" si="11"/>
        <v>0.44999999999999996</v>
      </c>
    </row>
    <row r="116" spans="12:21">
      <c r="L116">
        <f t="shared" si="8"/>
        <v>9.5</v>
      </c>
      <c r="M116">
        <f t="shared" si="10"/>
        <v>0.49999999999999994</v>
      </c>
      <c r="T116">
        <f t="shared" si="9"/>
        <v>11.000102072068195</v>
      </c>
      <c r="U116">
        <f t="shared" si="11"/>
        <v>0.49999999999999994</v>
      </c>
    </row>
    <row r="117" spans="12:21">
      <c r="L117">
        <f t="shared" si="8"/>
        <v>9.5</v>
      </c>
      <c r="M117">
        <f t="shared" si="10"/>
        <v>0.54999999999999993</v>
      </c>
      <c r="T117">
        <f t="shared" si="9"/>
        <v>10.999051839941011</v>
      </c>
      <c r="U117">
        <f t="shared" si="11"/>
        <v>0.54999999999999993</v>
      </c>
    </row>
    <row r="118" spans="12:21">
      <c r="L118">
        <f t="shared" si="8"/>
        <v>9.5</v>
      </c>
      <c r="M118">
        <f t="shared" si="10"/>
        <v>0.6</v>
      </c>
      <c r="T118">
        <f t="shared" si="9"/>
        <v>10.997901535069513</v>
      </c>
      <c r="U118">
        <f t="shared" si="11"/>
        <v>0.6</v>
      </c>
    </row>
    <row r="119" spans="12:21">
      <c r="L119">
        <f t="shared" si="8"/>
        <v>9.5</v>
      </c>
      <c r="M119">
        <f t="shared" si="10"/>
        <v>0.65</v>
      </c>
      <c r="T119">
        <f t="shared" si="9"/>
        <v>10.996651143635333</v>
      </c>
      <c r="U119">
        <f t="shared" si="11"/>
        <v>0.65</v>
      </c>
    </row>
    <row r="120" spans="12:21">
      <c r="L120">
        <f t="shared" si="8"/>
        <v>9.5</v>
      </c>
      <c r="M120">
        <f t="shared" si="10"/>
        <v>0.70000000000000007</v>
      </c>
      <c r="T120">
        <f t="shared" si="9"/>
        <v>10.995300650614897</v>
      </c>
      <c r="U120">
        <f t="shared" si="11"/>
        <v>0.70000000000000007</v>
      </c>
    </row>
    <row r="121" spans="12:21">
      <c r="L121">
        <f t="shared" si="8"/>
        <v>9.5</v>
      </c>
      <c r="M121">
        <f t="shared" si="10"/>
        <v>0.75000000000000011</v>
      </c>
      <c r="T121">
        <f t="shared" si="9"/>
        <v>10.993850039778515</v>
      </c>
      <c r="U121">
        <f t="shared" si="11"/>
        <v>0.75000000000000011</v>
      </c>
    </row>
    <row r="122" spans="12:21">
      <c r="L122">
        <f t="shared" si="8"/>
        <v>9.5</v>
      </c>
      <c r="M122">
        <f t="shared" si="10"/>
        <v>0.80000000000000016</v>
      </c>
      <c r="T122">
        <f t="shared" si="9"/>
        <v>10.992299293689424</v>
      </c>
      <c r="U122">
        <f t="shared" si="11"/>
        <v>0.80000000000000016</v>
      </c>
    </row>
    <row r="123" spans="12:21">
      <c r="L123">
        <f t="shared" si="8"/>
        <v>9.5</v>
      </c>
      <c r="M123">
        <f t="shared" si="10"/>
        <v>0.8500000000000002</v>
      </c>
      <c r="T123">
        <f t="shared" si="9"/>
        <v>10.990648393702717</v>
      </c>
      <c r="U123">
        <f t="shared" si="11"/>
        <v>0.8500000000000002</v>
      </c>
    </row>
    <row r="124" spans="12:21">
      <c r="L124">
        <f t="shared" si="8"/>
        <v>9.5</v>
      </c>
      <c r="M124">
        <f t="shared" si="10"/>
        <v>0.90000000000000024</v>
      </c>
      <c r="T124">
        <f t="shared" si="9"/>
        <v>10.988897319964241</v>
      </c>
      <c r="U124">
        <f t="shared" si="11"/>
        <v>0.90000000000000024</v>
      </c>
    </row>
    <row r="125" spans="12:21">
      <c r="L125">
        <f t="shared" si="8"/>
        <v>9.5</v>
      </c>
      <c r="M125">
        <f t="shared" si="10"/>
        <v>0.95000000000000029</v>
      </c>
      <c r="T125">
        <f t="shared" si="9"/>
        <v>10.987046051409379</v>
      </c>
      <c r="U125">
        <f t="shared" si="11"/>
        <v>0.95000000000000029</v>
      </c>
    </row>
    <row r="126" spans="12:21">
      <c r="L126">
        <f t="shared" si="8"/>
        <v>9.5</v>
      </c>
      <c r="M126">
        <f t="shared" si="10"/>
        <v>1.0000000000000002</v>
      </c>
      <c r="T126">
        <f t="shared" si="9"/>
        <v>10.985094565761813</v>
      </c>
      <c r="U126">
        <f t="shared" si="11"/>
        <v>1.0000000000000002</v>
      </c>
    </row>
    <row r="127" spans="12:21">
      <c r="L127">
        <f t="shared" si="8"/>
        <v>9.5</v>
      </c>
      <c r="M127">
        <f t="shared" si="10"/>
        <v>1.0500000000000003</v>
      </c>
      <c r="T127">
        <f t="shared" si="9"/>
        <v>10.983042839532139</v>
      </c>
      <c r="U127">
        <f t="shared" si="11"/>
        <v>1.0500000000000003</v>
      </c>
    </row>
    <row r="128" spans="12:21">
      <c r="L128">
        <f t="shared" si="8"/>
        <v>9.5</v>
      </c>
      <c r="M128">
        <f t="shared" si="10"/>
        <v>1.1000000000000003</v>
      </c>
      <c r="T128">
        <f t="shared" si="9"/>
        <v>10.98089084801649</v>
      </c>
      <c r="U128">
        <f t="shared" si="11"/>
        <v>1.1000000000000003</v>
      </c>
    </row>
    <row r="129" spans="12:21">
      <c r="L129">
        <f t="shared" si="8"/>
        <v>9.5</v>
      </c>
      <c r="M129">
        <f t="shared" si="10"/>
        <v>1.1500000000000004</v>
      </c>
      <c r="T129">
        <f t="shared" si="9"/>
        <v>10.978638565295025</v>
      </c>
      <c r="U129">
        <f t="shared" si="11"/>
        <v>1.1500000000000004</v>
      </c>
    </row>
    <row r="130" spans="12:21">
      <c r="L130">
        <f t="shared" si="8"/>
        <v>9.5</v>
      </c>
      <c r="M130">
        <f t="shared" si="10"/>
        <v>1.2000000000000004</v>
      </c>
      <c r="T130">
        <f t="shared" si="9"/>
        <v>10.976285964230357</v>
      </c>
      <c r="U130">
        <f t="shared" si="11"/>
        <v>1.2000000000000004</v>
      </c>
    </row>
    <row r="131" spans="12:21">
      <c r="L131">
        <f t="shared" si="8"/>
        <v>9.5</v>
      </c>
      <c r="M131">
        <f t="shared" si="10"/>
        <v>1.2500000000000004</v>
      </c>
      <c r="T131">
        <f t="shared" si="9"/>
        <v>10.973833016465942</v>
      </c>
      <c r="U131">
        <f t="shared" si="11"/>
        <v>1.2500000000000004</v>
      </c>
    </row>
    <row r="132" spans="12:21">
      <c r="L132">
        <f t="shared" si="8"/>
        <v>9.5</v>
      </c>
      <c r="M132">
        <f t="shared" si="10"/>
        <v>1.3000000000000005</v>
      </c>
      <c r="T132">
        <f t="shared" si="9"/>
        <v>10.971279692424336</v>
      </c>
      <c r="U132">
        <f t="shared" si="11"/>
        <v>1.3000000000000005</v>
      </c>
    </row>
    <row r="133" spans="12:21">
      <c r="L133">
        <f t="shared" si="8"/>
        <v>9.5</v>
      </c>
      <c r="M133">
        <f t="shared" si="10"/>
        <v>1.3500000000000005</v>
      </c>
      <c r="T133">
        <f t="shared" si="9"/>
        <v>10.96862596130542</v>
      </c>
      <c r="U133">
        <f t="shared" si="11"/>
        <v>1.3500000000000005</v>
      </c>
    </row>
    <row r="134" spans="12:21">
      <c r="L134">
        <f t="shared" si="8"/>
        <v>9.5</v>
      </c>
      <c r="M134">
        <f t="shared" si="10"/>
        <v>1.4000000000000006</v>
      </c>
      <c r="T134">
        <f t="shared" si="9"/>
        <v>10.965871791084531</v>
      </c>
      <c r="U134">
        <f t="shared" si="11"/>
        <v>1.4000000000000006</v>
      </c>
    </row>
    <row r="135" spans="12:21">
      <c r="L135">
        <f t="shared" si="8"/>
        <v>9.5</v>
      </c>
      <c r="M135">
        <f t="shared" si="10"/>
        <v>1.4500000000000006</v>
      </c>
      <c r="T135">
        <f t="shared" si="9"/>
        <v>10.963017148510531</v>
      </c>
      <c r="U135">
        <f t="shared" si="11"/>
        <v>1.4500000000000006</v>
      </c>
    </row>
    <row r="136" spans="12:21">
      <c r="L136">
        <f t="shared" si="8"/>
        <v>9.5</v>
      </c>
      <c r="M136">
        <f t="shared" si="10"/>
        <v>1.5000000000000007</v>
      </c>
      <c r="T136">
        <f t="shared" si="9"/>
        <v>10.960061999103779</v>
      </c>
      <c r="U136">
        <f t="shared" si="11"/>
        <v>1.5000000000000007</v>
      </c>
    </row>
    <row r="137" spans="12:21">
      <c r="L137">
        <f t="shared" si="8"/>
        <v>9.5</v>
      </c>
      <c r="M137">
        <f t="shared" si="10"/>
        <v>1.5500000000000007</v>
      </c>
      <c r="T137">
        <f t="shared" si="9"/>
        <v>10.957006307154053</v>
      </c>
      <c r="U137">
        <f t="shared" si="11"/>
        <v>1.5500000000000007</v>
      </c>
    </row>
    <row r="138" spans="12:21">
      <c r="L138">
        <f t="shared" si="8"/>
        <v>9.5</v>
      </c>
      <c r="M138">
        <f t="shared" si="10"/>
        <v>1.6000000000000008</v>
      </c>
      <c r="T138">
        <f t="shared" si="9"/>
        <v>10.953850035718368</v>
      </c>
      <c r="U138">
        <f t="shared" si="11"/>
        <v>1.6000000000000008</v>
      </c>
    </row>
    <row r="139" spans="12:21">
      <c r="L139">
        <f t="shared" si="8"/>
        <v>9.5</v>
      </c>
      <c r="M139">
        <f t="shared" si="10"/>
        <v>1.6500000000000008</v>
      </c>
      <c r="T139">
        <f t="shared" si="9"/>
        <v>10.950593146618747</v>
      </c>
      <c r="U139">
        <f t="shared" si="11"/>
        <v>1.6500000000000008</v>
      </c>
    </row>
    <row r="140" spans="12:21">
      <c r="L140">
        <f t="shared" si="8"/>
        <v>9.5</v>
      </c>
      <c r="M140">
        <f t="shared" si="10"/>
        <v>1.7000000000000008</v>
      </c>
      <c r="T140">
        <f t="shared" si="9"/>
        <v>10.947235600439878</v>
      </c>
      <c r="U140">
        <f t="shared" si="11"/>
        <v>1.7000000000000008</v>
      </c>
    </row>
    <row r="141" spans="12:21">
      <c r="L141">
        <f t="shared" si="8"/>
        <v>9.5</v>
      </c>
      <c r="M141">
        <f t="shared" si="10"/>
        <v>1.7500000000000009</v>
      </c>
      <c r="T141">
        <f t="shared" si="9"/>
        <v>10.943777356526748</v>
      </c>
      <c r="U141">
        <f t="shared" si="11"/>
        <v>1.7500000000000009</v>
      </c>
    </row>
    <row r="142" spans="12:21">
      <c r="L142">
        <f t="shared" si="8"/>
        <v>9.5</v>
      </c>
      <c r="M142">
        <f t="shared" si="10"/>
        <v>1.8000000000000009</v>
      </c>
      <c r="T142">
        <f t="shared" si="9"/>
        <v>10.940218372982137</v>
      </c>
      <c r="U142">
        <f t="shared" si="11"/>
        <v>1.8000000000000009</v>
      </c>
    </row>
    <row r="143" spans="12:21">
      <c r="L143">
        <f t="shared" si="8"/>
        <v>9.5</v>
      </c>
      <c r="M143">
        <f t="shared" si="10"/>
        <v>1.850000000000001</v>
      </c>
      <c r="T143">
        <f t="shared" si="9"/>
        <v>10.936558606664079</v>
      </c>
      <c r="U143">
        <f t="shared" si="11"/>
        <v>1.850000000000001</v>
      </c>
    </row>
    <row r="144" spans="12:21">
      <c r="L144">
        <f t="shared" si="8"/>
        <v>9.5</v>
      </c>
      <c r="M144">
        <f t="shared" si="10"/>
        <v>1.900000000000001</v>
      </c>
      <c r="T144">
        <f t="shared" si="9"/>
        <v>10.93279801318322</v>
      </c>
      <c r="U144">
        <f t="shared" si="11"/>
        <v>1.900000000000001</v>
      </c>
    </row>
    <row r="145" spans="12:21">
      <c r="L145">
        <f t="shared" si="8"/>
        <v>9.5</v>
      </c>
      <c r="M145">
        <f t="shared" si="10"/>
        <v>1.9500000000000011</v>
      </c>
      <c r="T145">
        <f t="shared" si="9"/>
        <v>10.928936546900115</v>
      </c>
      <c r="U145">
        <f t="shared" si="11"/>
        <v>1.9500000000000011</v>
      </c>
    </row>
    <row r="146" spans="12:21">
      <c r="L146">
        <f t="shared" si="8"/>
        <v>9.5</v>
      </c>
      <c r="M146">
        <f t="shared" si="10"/>
        <v>2.0000000000000009</v>
      </c>
      <c r="T146">
        <f t="shared" si="9"/>
        <v>10.924974160922442</v>
      </c>
      <c r="U146">
        <f t="shared" si="11"/>
        <v>2.0000000000000009</v>
      </c>
    </row>
    <row r="147" spans="12:21">
      <c r="L147">
        <f t="shared" si="8"/>
        <v>9.5</v>
      </c>
      <c r="M147">
        <f t="shared" si="10"/>
        <v>2.0500000000000007</v>
      </c>
      <c r="T147">
        <f t="shared" si="9"/>
        <v>10.920910807102121</v>
      </c>
      <c r="U147">
        <f t="shared" si="11"/>
        <v>2.0500000000000007</v>
      </c>
    </row>
    <row r="148" spans="12:21">
      <c r="L148">
        <f t="shared" si="8"/>
        <v>9.5</v>
      </c>
      <c r="M148">
        <f t="shared" si="10"/>
        <v>2.1000000000000005</v>
      </c>
      <c r="T148">
        <f t="shared" si="9"/>
        <v>10.916746436032362</v>
      </c>
      <c r="U148">
        <f t="shared" si="11"/>
        <v>2.1000000000000005</v>
      </c>
    </row>
    <row r="149" spans="12:21">
      <c r="L149">
        <f t="shared" si="8"/>
        <v>9.5</v>
      </c>
      <c r="M149">
        <f t="shared" si="10"/>
        <v>2.1500000000000004</v>
      </c>
      <c r="T149">
        <f t="shared" si="9"/>
        <v>10.912480997044653</v>
      </c>
      <c r="U149">
        <f t="shared" si="11"/>
        <v>2.1500000000000004</v>
      </c>
    </row>
    <row r="150" spans="12:21">
      <c r="L150">
        <f t="shared" si="8"/>
        <v>9.5</v>
      </c>
      <c r="M150">
        <f t="shared" si="10"/>
        <v>2.2000000000000002</v>
      </c>
      <c r="T150">
        <f t="shared" si="9"/>
        <v>10.908114438205629</v>
      </c>
      <c r="U150">
        <f t="shared" si="11"/>
        <v>2.2000000000000002</v>
      </c>
    </row>
    <row r="151" spans="12:21">
      <c r="L151">
        <f t="shared" si="8"/>
        <v>9.5</v>
      </c>
      <c r="M151">
        <f t="shared" si="10"/>
        <v>2.25</v>
      </c>
      <c r="T151">
        <f t="shared" si="9"/>
        <v>10.903646706313893</v>
      </c>
      <c r="U151">
        <f t="shared" si="11"/>
        <v>2.25</v>
      </c>
    </row>
    <row r="152" spans="12:21">
      <c r="L152">
        <f t="shared" si="8"/>
        <v>9.5</v>
      </c>
      <c r="M152">
        <f t="shared" si="10"/>
        <v>2.2999999999999998</v>
      </c>
      <c r="T152">
        <f t="shared" si="9"/>
        <v>10.899077746896744</v>
      </c>
      <c r="U152">
        <f t="shared" si="11"/>
        <v>2.2999999999999998</v>
      </c>
    </row>
    <row r="153" spans="12:21">
      <c r="L153">
        <f t="shared" si="8"/>
        <v>9.5</v>
      </c>
      <c r="M153">
        <f t="shared" si="10"/>
        <v>2.3499999999999996</v>
      </c>
      <c r="T153">
        <f t="shared" si="9"/>
        <v>10.8944075042068</v>
      </c>
      <c r="U153">
        <f t="shared" si="11"/>
        <v>2.3499999999999996</v>
      </c>
    </row>
    <row r="154" spans="12:21">
      <c r="L154">
        <f t="shared" si="8"/>
        <v>9.5</v>
      </c>
      <c r="M154">
        <f t="shared" si="10"/>
        <v>2.3999999999999995</v>
      </c>
      <c r="T154">
        <f t="shared" si="9"/>
        <v>10.889635921218588</v>
      </c>
      <c r="U154">
        <f t="shared" si="11"/>
        <v>2.3999999999999995</v>
      </c>
    </row>
    <row r="155" spans="12:21">
      <c r="L155">
        <f t="shared" si="8"/>
        <v>9.5</v>
      </c>
      <c r="M155">
        <f t="shared" si="10"/>
        <v>2.4499999999999993</v>
      </c>
      <c r="T155">
        <f t="shared" si="9"/>
        <v>10.884762939625009</v>
      </c>
      <c r="U155">
        <f t="shared" si="11"/>
        <v>2.4499999999999993</v>
      </c>
    </row>
    <row r="156" spans="12:21">
      <c r="L156">
        <f t="shared" si="8"/>
        <v>9.5</v>
      </c>
      <c r="M156">
        <f t="shared" si="10"/>
        <v>2.4999999999999991</v>
      </c>
      <c r="T156">
        <f t="shared" si="9"/>
        <v>10.879788499833719</v>
      </c>
      <c r="U156">
        <f t="shared" si="11"/>
        <v>2.4999999999999991</v>
      </c>
    </row>
    <row r="157" spans="12:21">
      <c r="L157">
        <f t="shared" si="8"/>
        <v>9.5</v>
      </c>
      <c r="M157">
        <f t="shared" si="10"/>
        <v>2.5499999999999989</v>
      </c>
      <c r="T157">
        <f t="shared" si="9"/>
        <v>10.874712540963468</v>
      </c>
      <c r="U157">
        <f t="shared" si="11"/>
        <v>2.5499999999999989</v>
      </c>
    </row>
    <row r="158" spans="12:21">
      <c r="L158">
        <f t="shared" si="8"/>
        <v>9.5</v>
      </c>
      <c r="M158">
        <f t="shared" si="10"/>
        <v>2.5999999999999988</v>
      </c>
      <c r="T158">
        <f t="shared" si="9"/>
        <v>10.869535000840305</v>
      </c>
      <c r="U158">
        <f t="shared" si="11"/>
        <v>2.5999999999999988</v>
      </c>
    </row>
    <row r="159" spans="12:21">
      <c r="L159">
        <f t="shared" si="8"/>
        <v>9.5</v>
      </c>
      <c r="M159">
        <f t="shared" si="10"/>
        <v>2.6499999999999986</v>
      </c>
      <c r="T159">
        <f t="shared" si="9"/>
        <v>10.864255815993722</v>
      </c>
      <c r="U159">
        <f t="shared" si="11"/>
        <v>2.6499999999999986</v>
      </c>
    </row>
    <row r="160" spans="12:21">
      <c r="L160">
        <f t="shared" si="8"/>
        <v>9.5</v>
      </c>
      <c r="M160">
        <f t="shared" si="10"/>
        <v>2.6999999999999984</v>
      </c>
      <c r="T160">
        <f t="shared" si="9"/>
        <v>10.858874921652713</v>
      </c>
      <c r="U160">
        <f t="shared" si="11"/>
        <v>2.6999999999999984</v>
      </c>
    </row>
    <row r="161" spans="12:21">
      <c r="L161">
        <f t="shared" si="8"/>
        <v>9.5</v>
      </c>
      <c r="M161">
        <f t="shared" si="10"/>
        <v>2.7499999999999982</v>
      </c>
      <c r="T161">
        <f t="shared" si="9"/>
        <v>10.853392251741742</v>
      </c>
      <c r="U161">
        <f t="shared" si="11"/>
        <v>2.7499999999999982</v>
      </c>
    </row>
    <row r="162" spans="12:21">
      <c r="L162">
        <f t="shared" si="8"/>
        <v>9.5</v>
      </c>
      <c r="M162">
        <f t="shared" si="10"/>
        <v>2.799999999999998</v>
      </c>
      <c r="T162">
        <f t="shared" si="9"/>
        <v>10.847807738876615</v>
      </c>
      <c r="U162">
        <f t="shared" si="11"/>
        <v>2.799999999999998</v>
      </c>
    </row>
    <row r="163" spans="12:21">
      <c r="L163">
        <f t="shared" si="8"/>
        <v>9.5</v>
      </c>
      <c r="M163">
        <f t="shared" si="10"/>
        <v>2.8499999999999979</v>
      </c>
      <c r="T163">
        <f t="shared" si="9"/>
        <v>10.842121314360288</v>
      </c>
      <c r="U163">
        <f t="shared" si="11"/>
        <v>2.8499999999999979</v>
      </c>
    </row>
    <row r="164" spans="12:21">
      <c r="L164">
        <f t="shared" si="8"/>
        <v>9.5</v>
      </c>
      <c r="M164">
        <f t="shared" si="10"/>
        <v>2.8999999999999977</v>
      </c>
      <c r="T164">
        <f t="shared" si="9"/>
        <v>10.836332908178555</v>
      </c>
      <c r="U164">
        <f t="shared" si="11"/>
        <v>2.8999999999999977</v>
      </c>
    </row>
    <row r="165" spans="12:21">
      <c r="L165">
        <f t="shared" si="8"/>
        <v>9.5</v>
      </c>
      <c r="M165">
        <f t="shared" si="10"/>
        <v>2.9499999999999975</v>
      </c>
      <c r="T165">
        <f t="shared" si="9"/>
        <v>10.830442448995687</v>
      </c>
      <c r="U165">
        <f t="shared" si="11"/>
        <v>2.9499999999999975</v>
      </c>
    </row>
    <row r="166" spans="12:21">
      <c r="L166">
        <f t="shared" si="8"/>
        <v>9.5</v>
      </c>
      <c r="M166">
        <f t="shared" si="10"/>
        <v>2.9999999999999973</v>
      </c>
      <c r="T166">
        <f t="shared" si="9"/>
        <v>10.824449864149933</v>
      </c>
      <c r="U166">
        <f t="shared" si="11"/>
        <v>2.9999999999999973</v>
      </c>
    </row>
    <row r="167" spans="12:21">
      <c r="L167">
        <f t="shared" si="8"/>
        <v>9.5</v>
      </c>
      <c r="M167">
        <f t="shared" si="10"/>
        <v>3.0499999999999972</v>
      </c>
      <c r="T167">
        <f t="shared" si="9"/>
        <v>10.818355079648974</v>
      </c>
      <c r="U167">
        <f t="shared" si="11"/>
        <v>3.0499999999999972</v>
      </c>
    </row>
    <row r="168" spans="12:21">
      <c r="L168">
        <f t="shared" si="8"/>
        <v>9.5</v>
      </c>
      <c r="M168">
        <f t="shared" si="10"/>
        <v>3.099999999999997</v>
      </c>
      <c r="T168">
        <f t="shared" si="9"/>
        <v>10.812158020165267</v>
      </c>
      <c r="U168">
        <f t="shared" si="11"/>
        <v>3.099999999999997</v>
      </c>
    </row>
    <row r="169" spans="12:21">
      <c r="L169">
        <f t="shared" si="8"/>
        <v>9.5</v>
      </c>
      <c r="M169">
        <f t="shared" si="10"/>
        <v>3.1499999999999968</v>
      </c>
      <c r="T169">
        <f t="shared" si="9"/>
        <v>10.80585860903129</v>
      </c>
      <c r="U169">
        <f t="shared" si="11"/>
        <v>3.1499999999999968</v>
      </c>
    </row>
    <row r="170" spans="12:21">
      <c r="L170">
        <f t="shared" si="8"/>
        <v>9.5</v>
      </c>
      <c r="M170">
        <f t="shared" si="10"/>
        <v>3.1999999999999966</v>
      </c>
      <c r="T170">
        <f t="shared" si="9"/>
        <v>10.799456768234709</v>
      </c>
      <c r="U170">
        <f t="shared" si="11"/>
        <v>3.1999999999999966</v>
      </c>
    </row>
    <row r="171" spans="12:21">
      <c r="L171">
        <f t="shared" ref="L171:L206" si="12">$G$4-($G$2/ABS($G$2))*SQRT($G$2*$G$2-(M171)^2)</f>
        <v>9.5</v>
      </c>
      <c r="M171">
        <f t="shared" si="10"/>
        <v>3.2499999999999964</v>
      </c>
      <c r="T171">
        <f t="shared" ref="T171:T206" si="13">$G$17+($G$15/ABS($G$15))*SQRT($G$15*$G$15-(U171)^2)</f>
        <v>10.792952418413456</v>
      </c>
      <c r="U171">
        <f t="shared" si="11"/>
        <v>3.2499999999999964</v>
      </c>
    </row>
    <row r="172" spans="12:21">
      <c r="L172">
        <f t="shared" si="12"/>
        <v>9.5</v>
      </c>
      <c r="M172">
        <f t="shared" ref="M172:M206" si="14">M171+0.05</f>
        <v>3.2999999999999963</v>
      </c>
      <c r="T172">
        <f t="shared" si="13"/>
        <v>10.786345478850684</v>
      </c>
      <c r="U172">
        <f t="shared" ref="U172:U206" si="15">U171+0.05</f>
        <v>3.2999999999999963</v>
      </c>
    </row>
    <row r="173" spans="12:21">
      <c r="L173">
        <f t="shared" si="12"/>
        <v>9.5</v>
      </c>
      <c r="M173">
        <f t="shared" si="14"/>
        <v>3.3499999999999961</v>
      </c>
      <c r="T173">
        <f t="shared" si="13"/>
        <v>10.779635867469668</v>
      </c>
      <c r="U173">
        <f t="shared" si="15"/>
        <v>3.3499999999999961</v>
      </c>
    </row>
    <row r="174" spans="12:21">
      <c r="L174">
        <f t="shared" si="12"/>
        <v>9.5</v>
      </c>
      <c r="M174">
        <f t="shared" si="14"/>
        <v>3.3999999999999959</v>
      </c>
      <c r="T174">
        <f t="shared" si="13"/>
        <v>10.772823500828572</v>
      </c>
      <c r="U174">
        <f t="shared" si="15"/>
        <v>3.3999999999999959</v>
      </c>
    </row>
    <row r="175" spans="12:21">
      <c r="L175">
        <f t="shared" si="12"/>
        <v>9.5</v>
      </c>
      <c r="M175">
        <f t="shared" si="14"/>
        <v>3.4499999999999957</v>
      </c>
      <c r="T175">
        <f t="shared" si="13"/>
        <v>10.765908294115153</v>
      </c>
      <c r="U175">
        <f t="shared" si="15"/>
        <v>3.4499999999999957</v>
      </c>
    </row>
    <row r="176" spans="12:21">
      <c r="L176">
        <f t="shared" si="12"/>
        <v>9.5</v>
      </c>
      <c r="M176">
        <f t="shared" si="14"/>
        <v>3.4999999999999956</v>
      </c>
      <c r="T176">
        <f t="shared" si="13"/>
        <v>10.758890161141345</v>
      </c>
      <c r="U176">
        <f t="shared" si="15"/>
        <v>3.4999999999999956</v>
      </c>
    </row>
    <row r="177" spans="12:21">
      <c r="L177">
        <f t="shared" si="12"/>
        <v>9.5</v>
      </c>
      <c r="M177">
        <f t="shared" si="14"/>
        <v>3.5499999999999954</v>
      </c>
      <c r="T177">
        <f t="shared" si="13"/>
        <v>10.751769014337761</v>
      </c>
      <c r="U177">
        <f t="shared" si="15"/>
        <v>3.5499999999999954</v>
      </c>
    </row>
    <row r="178" spans="12:21">
      <c r="L178">
        <f t="shared" si="12"/>
        <v>9.5</v>
      </c>
      <c r="M178">
        <f t="shared" si="14"/>
        <v>3.5999999999999952</v>
      </c>
      <c r="T178">
        <f t="shared" si="13"/>
        <v>10.744544764748071</v>
      </c>
      <c r="U178">
        <f t="shared" si="15"/>
        <v>3.5999999999999952</v>
      </c>
    </row>
    <row r="179" spans="12:21">
      <c r="L179">
        <f t="shared" si="12"/>
        <v>9.5</v>
      </c>
      <c r="M179">
        <f t="shared" si="14"/>
        <v>3.649999999999995</v>
      </c>
      <c r="T179">
        <f t="shared" si="13"/>
        <v>10.737217322023316</v>
      </c>
      <c r="U179">
        <f t="shared" si="15"/>
        <v>3.649999999999995</v>
      </c>
    </row>
    <row r="180" spans="12:21">
      <c r="L180">
        <f t="shared" si="12"/>
        <v>9.5</v>
      </c>
      <c r="M180">
        <f t="shared" si="14"/>
        <v>3.6999999999999948</v>
      </c>
      <c r="T180">
        <f t="shared" si="13"/>
        <v>10.729786594416108</v>
      </c>
      <c r="U180">
        <f t="shared" si="15"/>
        <v>3.6999999999999948</v>
      </c>
    </row>
    <row r="181" spans="12:21">
      <c r="L181">
        <f t="shared" si="12"/>
        <v>9.5</v>
      </c>
      <c r="M181">
        <f t="shared" si="14"/>
        <v>3.7499999999999947</v>
      </c>
      <c r="T181">
        <f t="shared" si="13"/>
        <v>10.722252488774703</v>
      </c>
      <c r="U181">
        <f t="shared" si="15"/>
        <v>3.7499999999999947</v>
      </c>
    </row>
    <row r="182" spans="12:21">
      <c r="L182">
        <f t="shared" si="12"/>
        <v>9.5</v>
      </c>
      <c r="M182">
        <f t="shared" si="14"/>
        <v>3.7999999999999945</v>
      </c>
      <c r="T182">
        <f t="shared" si="13"/>
        <v>10.714614910537023</v>
      </c>
      <c r="U182">
        <f t="shared" si="15"/>
        <v>3.7999999999999945</v>
      </c>
    </row>
    <row r="183" spans="12:21">
      <c r="L183">
        <f t="shared" si="12"/>
        <v>9.5</v>
      </c>
      <c r="M183">
        <f t="shared" si="14"/>
        <v>3.8499999999999943</v>
      </c>
      <c r="T183">
        <f t="shared" si="13"/>
        <v>10.706873763724506</v>
      </c>
      <c r="U183">
        <f t="shared" si="15"/>
        <v>3.8499999999999943</v>
      </c>
    </row>
    <row r="184" spans="12:21">
      <c r="L184">
        <f t="shared" si="12"/>
        <v>9.5</v>
      </c>
      <c r="M184">
        <f t="shared" si="14"/>
        <v>3.8999999999999941</v>
      </c>
      <c r="T184">
        <f t="shared" si="13"/>
        <v>10.699028950935936</v>
      </c>
      <c r="U184">
        <f t="shared" si="15"/>
        <v>3.8999999999999941</v>
      </c>
    </row>
    <row r="185" spans="12:21">
      <c r="L185">
        <f t="shared" si="12"/>
        <v>9.5</v>
      </c>
      <c r="M185">
        <f t="shared" si="14"/>
        <v>3.949999999999994</v>
      </c>
      <c r="T185">
        <f t="shared" si="13"/>
        <v>10.691080373341094</v>
      </c>
      <c r="U185">
        <f t="shared" si="15"/>
        <v>3.949999999999994</v>
      </c>
    </row>
    <row r="186" spans="12:21">
      <c r="L186">
        <f t="shared" si="12"/>
        <v>9.5</v>
      </c>
      <c r="M186">
        <f t="shared" si="14"/>
        <v>3.9999999999999938</v>
      </c>
      <c r="T186">
        <f t="shared" si="13"/>
        <v>10.683027930674353</v>
      </c>
      <c r="U186">
        <f t="shared" si="15"/>
        <v>3.9999999999999938</v>
      </c>
    </row>
    <row r="187" spans="12:21">
      <c r="L187">
        <f t="shared" si="12"/>
        <v>9.5</v>
      </c>
      <c r="M187">
        <f t="shared" si="14"/>
        <v>4.0499999999999936</v>
      </c>
      <c r="T187">
        <f t="shared" si="13"/>
        <v>10.67487152122812</v>
      </c>
      <c r="U187">
        <f t="shared" si="15"/>
        <v>4.0499999999999936</v>
      </c>
    </row>
    <row r="188" spans="12:21">
      <c r="L188">
        <f t="shared" si="12"/>
        <v>9.5</v>
      </c>
      <c r="M188">
        <f t="shared" si="14"/>
        <v>4.0999999999999934</v>
      </c>
      <c r="T188">
        <f t="shared" si="13"/>
        <v>10.666611041846227</v>
      </c>
      <c r="U188">
        <f t="shared" si="15"/>
        <v>4.0999999999999934</v>
      </c>
    </row>
    <row r="189" spans="12:21">
      <c r="L189">
        <f t="shared" si="12"/>
        <v>9.5</v>
      </c>
      <c r="M189">
        <f t="shared" si="14"/>
        <v>4.1499999999999932</v>
      </c>
      <c r="T189">
        <f t="shared" si="13"/>
        <v>10.658246387917156</v>
      </c>
      <c r="U189">
        <f t="shared" si="15"/>
        <v>4.1499999999999932</v>
      </c>
    </row>
    <row r="190" spans="12:21">
      <c r="L190">
        <f t="shared" si="12"/>
        <v>9.5</v>
      </c>
      <c r="M190">
        <f t="shared" si="14"/>
        <v>4.1999999999999931</v>
      </c>
      <c r="T190">
        <f t="shared" si="13"/>
        <v>10.6497774533672</v>
      </c>
      <c r="U190">
        <f t="shared" si="15"/>
        <v>4.1999999999999931</v>
      </c>
    </row>
    <row r="191" spans="12:21">
      <c r="L191">
        <f t="shared" si="12"/>
        <v>9.5</v>
      </c>
      <c r="M191">
        <f t="shared" si="14"/>
        <v>4.2499999999999929</v>
      </c>
      <c r="T191">
        <f t="shared" si="13"/>
        <v>10.641204130653485</v>
      </c>
      <c r="U191">
        <f t="shared" si="15"/>
        <v>4.2499999999999929</v>
      </c>
    </row>
    <row r="192" spans="12:21">
      <c r="L192">
        <f t="shared" si="12"/>
        <v>9.5</v>
      </c>
      <c r="M192">
        <f t="shared" si="14"/>
        <v>4.2999999999999927</v>
      </c>
      <c r="T192">
        <f t="shared" si="13"/>
        <v>10.632526310756877</v>
      </c>
      <c r="U192">
        <f t="shared" si="15"/>
        <v>4.2999999999999927</v>
      </c>
    </row>
    <row r="193" spans="12:21">
      <c r="L193">
        <f t="shared" si="12"/>
        <v>9.5</v>
      </c>
      <c r="M193">
        <f t="shared" si="14"/>
        <v>4.3499999999999925</v>
      </c>
      <c r="T193">
        <f t="shared" si="13"/>
        <v>10.623743883174807</v>
      </c>
      <c r="U193">
        <f t="shared" si="15"/>
        <v>4.3499999999999925</v>
      </c>
    </row>
    <row r="194" spans="12:21">
      <c r="L194">
        <f t="shared" si="12"/>
        <v>9.5</v>
      </c>
      <c r="M194">
        <f t="shared" si="14"/>
        <v>4.3999999999999924</v>
      </c>
      <c r="T194">
        <f t="shared" si="13"/>
        <v>10.614856735913946</v>
      </c>
      <c r="U194">
        <f t="shared" si="15"/>
        <v>4.3999999999999924</v>
      </c>
    </row>
    <row r="195" spans="12:21">
      <c r="L195">
        <f t="shared" si="12"/>
        <v>9.5</v>
      </c>
      <c r="M195">
        <f t="shared" si="14"/>
        <v>4.4499999999999922</v>
      </c>
      <c r="T195">
        <f t="shared" si="13"/>
        <v>10.605864755482788</v>
      </c>
      <c r="U195">
        <f t="shared" si="15"/>
        <v>4.4499999999999922</v>
      </c>
    </row>
    <row r="196" spans="12:21">
      <c r="L196">
        <f t="shared" si="12"/>
        <v>9.5</v>
      </c>
      <c r="M196">
        <f t="shared" si="14"/>
        <v>4.499999999999992</v>
      </c>
      <c r="T196">
        <f t="shared" si="13"/>
        <v>10.596767826884097</v>
      </c>
      <c r="U196">
        <f t="shared" si="15"/>
        <v>4.499999999999992</v>
      </c>
    </row>
    <row r="197" spans="12:21">
      <c r="L197">
        <f t="shared" si="12"/>
        <v>9.5</v>
      </c>
      <c r="M197">
        <f t="shared" si="14"/>
        <v>4.5499999999999918</v>
      </c>
      <c r="T197">
        <f t="shared" si="13"/>
        <v>10.587565833607261</v>
      </c>
      <c r="U197">
        <f t="shared" si="15"/>
        <v>4.5499999999999918</v>
      </c>
    </row>
    <row r="198" spans="12:21">
      <c r="L198">
        <f t="shared" si="12"/>
        <v>9.5</v>
      </c>
      <c r="M198">
        <f t="shared" si="14"/>
        <v>4.5999999999999917</v>
      </c>
      <c r="T198">
        <f t="shared" si="13"/>
        <v>10.578258657620491</v>
      </c>
      <c r="U198">
        <f t="shared" si="15"/>
        <v>4.5999999999999917</v>
      </c>
    </row>
    <row r="199" spans="12:21">
      <c r="L199">
        <f t="shared" si="12"/>
        <v>9.5</v>
      </c>
      <c r="M199">
        <f t="shared" si="14"/>
        <v>4.6499999999999915</v>
      </c>
      <c r="T199">
        <f t="shared" si="13"/>
        <v>10.56884617936295</v>
      </c>
      <c r="U199">
        <f t="shared" si="15"/>
        <v>4.6499999999999915</v>
      </c>
    </row>
    <row r="200" spans="12:21">
      <c r="L200">
        <f t="shared" si="12"/>
        <v>9.5</v>
      </c>
      <c r="M200">
        <f t="shared" si="14"/>
        <v>4.6999999999999913</v>
      </c>
      <c r="T200">
        <f t="shared" si="13"/>
        <v>10.559328277736704</v>
      </c>
      <c r="U200">
        <f t="shared" si="15"/>
        <v>4.6999999999999913</v>
      </c>
    </row>
    <row r="201" spans="12:21">
      <c r="L201">
        <f t="shared" si="12"/>
        <v>9.5</v>
      </c>
      <c r="M201">
        <f t="shared" si="14"/>
        <v>4.7499999999999911</v>
      </c>
      <c r="T201">
        <f t="shared" si="13"/>
        <v>10.54970483009858</v>
      </c>
      <c r="U201">
        <f t="shared" si="15"/>
        <v>4.7499999999999911</v>
      </c>
    </row>
    <row r="202" spans="12:21">
      <c r="L202">
        <f t="shared" si="12"/>
        <v>9.5</v>
      </c>
      <c r="M202">
        <f t="shared" si="14"/>
        <v>4.7999999999999909</v>
      </c>
      <c r="T202">
        <f t="shared" si="13"/>
        <v>10.539975712251909</v>
      </c>
      <c r="U202">
        <f t="shared" si="15"/>
        <v>4.7999999999999909</v>
      </c>
    </row>
    <row r="203" spans="12:21">
      <c r="L203">
        <f t="shared" si="12"/>
        <v>9.5</v>
      </c>
      <c r="M203">
        <f t="shared" si="14"/>
        <v>4.8499999999999908</v>
      </c>
      <c r="T203">
        <f t="shared" si="13"/>
        <v>10.530140798438126</v>
      </c>
      <c r="U203">
        <f t="shared" si="15"/>
        <v>4.8499999999999908</v>
      </c>
    </row>
    <row r="204" spans="12:21">
      <c r="L204">
        <f t="shared" si="12"/>
        <v>9.5</v>
      </c>
      <c r="M204">
        <f t="shared" si="14"/>
        <v>4.8999999999999906</v>
      </c>
      <c r="T204">
        <f t="shared" si="13"/>
        <v>10.520199961328235</v>
      </c>
      <c r="U204">
        <f t="shared" si="15"/>
        <v>4.8999999999999906</v>
      </c>
    </row>
    <row r="205" spans="12:21">
      <c r="L205">
        <f t="shared" si="12"/>
        <v>9.5</v>
      </c>
      <c r="M205">
        <f t="shared" si="14"/>
        <v>4.9499999999999904</v>
      </c>
      <c r="T205">
        <f t="shared" si="13"/>
        <v>10.510153072014166</v>
      </c>
      <c r="U205">
        <f t="shared" si="15"/>
        <v>4.9499999999999904</v>
      </c>
    </row>
    <row r="206" spans="12:21">
      <c r="L206">
        <f t="shared" si="12"/>
        <v>9.5</v>
      </c>
      <c r="M206">
        <f t="shared" si="14"/>
        <v>4.9999999999999902</v>
      </c>
      <c r="T206">
        <f t="shared" si="13"/>
        <v>10.500000000000004</v>
      </c>
      <c r="U206">
        <f t="shared" si="15"/>
        <v>4.9999999999999902</v>
      </c>
    </row>
  </sheetData>
  <sheetProtection sheet="1" objects="1" scenarios="1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Lens</vt:lpstr>
      <vt:lpstr>soczewka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kaczorov</dc:creator>
  <cp:lastModifiedBy>Paula Kochańska</cp:lastModifiedBy>
  <dcterms:created xsi:type="dcterms:W3CDTF">2015-03-28T16:24:33Z</dcterms:created>
  <dcterms:modified xsi:type="dcterms:W3CDTF">2017-01-22T11:43:55Z</dcterms:modified>
</cp:coreProperties>
</file>